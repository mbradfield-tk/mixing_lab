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0"/>
  <workbookPr/>
  <mc:AlternateContent xmlns:mc="http://schemas.openxmlformats.org/markup-compatibility/2006">
    <mc:Choice Requires="x15">
      <x15ac:absPath xmlns:x15ac="http://schemas.microsoft.com/office/spreadsheetml/2010/11/ac" url="https://mytakeda-my.sharepoint.com/personal/michael_bradfield_takeda_com/Documents/Documents/Python_tools/mixing_lab/data/"/>
    </mc:Choice>
  </mc:AlternateContent>
  <xr:revisionPtr revIDLastSave="2457" documentId="11_F25DC773A252ABDACC1048009198755A5BDE58FB" xr6:coauthVersionLast="47" xr6:coauthVersionMax="47" xr10:uidLastSave="{51695296-976E-5B4F-B815-1C23A95151B2}"/>
  <bookViews>
    <workbookView xWindow="-4240" yWindow="-21000" windowWidth="38400" windowHeight="21000" xr2:uid="{00000000-000D-0000-FFFF-FFFF00000000}"/>
  </bookViews>
  <sheets>
    <sheet name="Reactor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3" i="4" l="1"/>
  <c r="J53" i="4"/>
  <c r="J51" i="4"/>
  <c r="J52" i="4" s="1"/>
  <c r="J41" i="4"/>
  <c r="J40" i="4"/>
  <c r="J28" i="4"/>
  <c r="J29" i="4"/>
  <c r="J27" i="4"/>
  <c r="J39" i="4"/>
  <c r="H77" i="4"/>
  <c r="H85" i="4"/>
  <c r="N7" i="4"/>
  <c r="N8" i="4"/>
  <c r="Q28" i="4"/>
  <c r="Q13" i="4"/>
  <c r="Q12" i="4"/>
  <c r="D80" i="4"/>
  <c r="D78" i="4"/>
  <c r="D83" i="4"/>
  <c r="D82" i="4"/>
  <c r="D58" i="4"/>
  <c r="D51" i="4"/>
  <c r="D39" i="4"/>
  <c r="D31" i="4"/>
  <c r="D30" i="4"/>
  <c r="D27" i="4"/>
  <c r="D19" i="4"/>
  <c r="D18" i="4"/>
  <c r="D11" i="4"/>
  <c r="D10" i="4"/>
  <c r="D16" i="4" s="1"/>
  <c r="D84" i="4" s="1"/>
  <c r="H31" i="4"/>
  <c r="H19" i="4"/>
  <c r="H6" i="4"/>
  <c r="H12" i="4"/>
  <c r="H10" i="4"/>
  <c r="H27" i="4"/>
  <c r="F69" i="4"/>
  <c r="F70" i="4" s="1"/>
  <c r="F71" i="4" s="1"/>
  <c r="G70" i="4"/>
  <c r="N63" i="4"/>
  <c r="N65" i="4"/>
  <c r="R12" i="4"/>
  <c r="S12" i="4"/>
  <c r="T12" i="4"/>
  <c r="U12" i="4"/>
  <c r="F63" i="4"/>
  <c r="N69" i="4"/>
  <c r="N70" i="4" s="1"/>
  <c r="N71" i="4" s="1"/>
  <c r="N39" i="4"/>
  <c r="N31" i="4"/>
  <c r="N43" i="4" s="1"/>
  <c r="E6" i="4"/>
  <c r="E27" i="4"/>
  <c r="E16" i="4"/>
  <c r="J16" i="4"/>
  <c r="I11" i="4"/>
  <c r="J11" i="4"/>
  <c r="J12" i="4" s="1"/>
  <c r="J10" i="4"/>
  <c r="N27" i="4"/>
  <c r="N10" i="4"/>
  <c r="K11" i="4"/>
  <c r="K12" i="4" s="1"/>
  <c r="L11" i="4"/>
  <c r="L12" i="4" s="1"/>
  <c r="M11" i="4"/>
  <c r="M12" i="4" s="1"/>
  <c r="N11" i="4"/>
  <c r="N12" i="4" s="1"/>
  <c r="N6" i="4"/>
  <c r="N85" i="4"/>
  <c r="M85" i="4"/>
  <c r="M10" i="4"/>
  <c r="M6" i="4"/>
  <c r="L6" i="4"/>
  <c r="K6" i="4"/>
  <c r="I6" i="4"/>
  <c r="G85" i="4"/>
  <c r="I85" i="4"/>
  <c r="L85" i="4"/>
  <c r="K85" i="4"/>
  <c r="I39" i="4"/>
  <c r="I40" i="4" s="1"/>
  <c r="I27" i="4"/>
  <c r="I28" i="4" s="1"/>
  <c r="R13" i="4"/>
  <c r="S13" i="4"/>
  <c r="T13" i="4"/>
  <c r="U13" i="4"/>
  <c r="L10" i="4"/>
  <c r="K10" i="4"/>
  <c r="G43" i="4"/>
  <c r="F40" i="4"/>
  <c r="G40" i="4"/>
  <c r="G29" i="4"/>
  <c r="G41" i="4" s="1"/>
  <c r="G28" i="4"/>
  <c r="F58" i="4"/>
  <c r="D40" i="4" l="1"/>
  <c r="D28" i="4"/>
  <c r="D13" i="4"/>
  <c r="D12" i="4"/>
  <c r="D32" i="4"/>
  <c r="H28" i="4"/>
  <c r="H13" i="4"/>
  <c r="E13" i="4"/>
  <c r="E12" i="4"/>
  <c r="I13" i="4"/>
  <c r="I12" i="4"/>
  <c r="L13" i="4"/>
  <c r="K13" i="4"/>
  <c r="N40" i="4"/>
  <c r="J13" i="4"/>
  <c r="N28" i="4"/>
  <c r="N13" i="4"/>
  <c r="M13" i="4"/>
  <c r="M40" i="4"/>
  <c r="M28" i="4"/>
  <c r="L28" i="4"/>
  <c r="L40" i="4"/>
  <c r="K28" i="4"/>
  <c r="K40" i="4"/>
  <c r="V28" i="4" l="1"/>
  <c r="F28" i="4"/>
  <c r="O28" i="4"/>
  <c r="R28" i="4"/>
  <c r="C51" i="4"/>
  <c r="C39" i="4"/>
  <c r="G16" i="4"/>
  <c r="F16" i="4"/>
  <c r="G13" i="4" l="1"/>
  <c r="G12" i="4"/>
  <c r="F13" i="4"/>
  <c r="F12" i="4"/>
  <c r="W11" i="4"/>
  <c r="W27" i="4"/>
  <c r="W28" i="4" s="1"/>
  <c r="V11" i="4"/>
  <c r="W13" i="4" l="1"/>
  <c r="W12" i="4"/>
  <c r="V13" i="4"/>
  <c r="V12" i="4"/>
  <c r="C83" i="4" l="1"/>
  <c r="C82" i="4"/>
  <c r="C80" i="4"/>
  <c r="C78" i="4"/>
  <c r="C75" i="4"/>
  <c r="C74" i="4"/>
  <c r="C73" i="4"/>
  <c r="C58" i="4"/>
  <c r="C31" i="4"/>
  <c r="C43" i="4" s="1"/>
  <c r="C55" i="4" s="1"/>
  <c r="C30" i="4"/>
  <c r="C27" i="4"/>
  <c r="C19" i="4"/>
  <c r="C18" i="4"/>
  <c r="C11" i="4"/>
  <c r="C10" i="4"/>
  <c r="C40" i="4" l="1"/>
  <c r="C28" i="4"/>
  <c r="C16" i="4"/>
  <c r="O13" i="4" l="1"/>
  <c r="O12" i="4"/>
  <c r="C13" i="4"/>
  <c r="C12" i="4"/>
  <c r="C32" i="4"/>
  <c r="C84" i="4"/>
</calcChain>
</file>

<file path=xl/sharedStrings.xml><?xml version="1.0" encoding="utf-8"?>
<sst xmlns="http://schemas.openxmlformats.org/spreadsheetml/2006/main" count="430" uniqueCount="184">
  <si>
    <t>Owner</t>
  </si>
  <si>
    <t>Location</t>
  </si>
  <si>
    <t>Tag</t>
  </si>
  <si>
    <t>R-3156</t>
  </si>
  <si>
    <t>Scale</t>
  </si>
  <si>
    <t>2:1 Elliptical</t>
  </si>
  <si>
    <t>Shell material</t>
  </si>
  <si>
    <t>316-L SA-240</t>
  </si>
  <si>
    <t>Impeller count</t>
  </si>
  <si>
    <t>Baffle length fraction</t>
  </si>
  <si>
    <t>bar</t>
  </si>
  <si>
    <t>mm</t>
  </si>
  <si>
    <t>Sparge pipe length</t>
  </si>
  <si>
    <t>Sparge pipe dia.</t>
  </si>
  <si>
    <t>Baffle width</t>
  </si>
  <si>
    <t>L</t>
  </si>
  <si>
    <t xml:space="preserve">Shaft length </t>
  </si>
  <si>
    <t xml:space="preserve">Shaft diameter </t>
  </si>
  <si>
    <t xml:space="preserve">Impeller 1 shaft offset </t>
  </si>
  <si>
    <t xml:space="preserve">Impeller 1 clearance </t>
  </si>
  <si>
    <t xml:space="preserve">Impeller 1 offset from T.L </t>
  </si>
  <si>
    <t xml:space="preserve">Impeller 2 clearance </t>
  </si>
  <si>
    <t xml:space="preserve">Impeller 3 clearance </t>
  </si>
  <si>
    <t xml:space="preserve">Shell thickness </t>
  </si>
  <si>
    <t xml:space="preserve">Internal coil pitch </t>
  </si>
  <si>
    <t xml:space="preserve">Coil diameter </t>
  </si>
  <si>
    <t>#</t>
  </si>
  <si>
    <t>Dished</t>
  </si>
  <si>
    <t>m2</t>
  </si>
  <si>
    <t>Rushton gassing</t>
  </si>
  <si>
    <t>Impeller 1 type</t>
  </si>
  <si>
    <t xml:space="preserve">Impeller 1 diameter </t>
  </si>
  <si>
    <t>Impeller 1 height</t>
  </si>
  <si>
    <t>Kilo</t>
  </si>
  <si>
    <t>Lab</t>
  </si>
  <si>
    <t>Coil xs diameter (face)</t>
  </si>
  <si>
    <t>Manufacturer</t>
  </si>
  <si>
    <t>Buchi</t>
  </si>
  <si>
    <t>Mettler Toledo</t>
  </si>
  <si>
    <t>Model</t>
  </si>
  <si>
    <t>HP20</t>
  </si>
  <si>
    <t>RC1mx MP06</t>
  </si>
  <si>
    <t>RC1mx MP10</t>
  </si>
  <si>
    <t>RC1mx HP60</t>
  </si>
  <si>
    <t>EasyMax 102</t>
  </si>
  <si>
    <t>DIN Torispherical</t>
  </si>
  <si>
    <t>rpm</t>
  </si>
  <si>
    <t>Shaft rotation</t>
  </si>
  <si>
    <t>CW</t>
  </si>
  <si>
    <t>Impeller 1 pumping direction</t>
  </si>
  <si>
    <t>-</t>
  </si>
  <si>
    <t>up</t>
  </si>
  <si>
    <t>°</t>
  </si>
  <si>
    <t>Charles City</t>
  </si>
  <si>
    <t>High Point</t>
  </si>
  <si>
    <t>R-B01</t>
  </si>
  <si>
    <t>R-B02</t>
  </si>
  <si>
    <t>R-5103</t>
  </si>
  <si>
    <t>4PBT</t>
  </si>
  <si>
    <t>3PBT</t>
  </si>
  <si>
    <t>Centerbrooke, CT</t>
  </si>
  <si>
    <t>Cambridge, 650 EK</t>
  </si>
  <si>
    <t>Impeller 2 type</t>
  </si>
  <si>
    <t>Impeller 2 diameter</t>
  </si>
  <si>
    <t>Impeller 3 type</t>
  </si>
  <si>
    <t>Impeller 3 diameter</t>
  </si>
  <si>
    <t>1.6 L Buchi</t>
  </si>
  <si>
    <t>Takeda</t>
  </si>
  <si>
    <t>Nalas</t>
  </si>
  <si>
    <t>1 L MB06</t>
  </si>
  <si>
    <t>1 L MP10</t>
  </si>
  <si>
    <t>2 L</t>
  </si>
  <si>
    <t>20 L</t>
  </si>
  <si>
    <t>5 L HP20</t>
  </si>
  <si>
    <t>Pilot</t>
  </si>
  <si>
    <t>Torispherical</t>
  </si>
  <si>
    <t>Impeller 1 D/Dt</t>
  </si>
  <si>
    <t>Impeller 2 blade angle</t>
  </si>
  <si>
    <t>Impeller 1 design</t>
  </si>
  <si>
    <t>Lightnin A200</t>
  </si>
  <si>
    <t>Impeller 2 design</t>
  </si>
  <si>
    <t>Lightnin A315</t>
  </si>
  <si>
    <t>Axial, high solidity</t>
  </si>
  <si>
    <t>Impeller 3 design</t>
  </si>
  <si>
    <t>Design pressure</t>
  </si>
  <si>
    <t>Design temperature</t>
  </si>
  <si>
    <t>°C</t>
  </si>
  <si>
    <t>Down</t>
  </si>
  <si>
    <t>Impeller 2 D/Dt</t>
  </si>
  <si>
    <t>Impeller 2 height</t>
  </si>
  <si>
    <t>DeDietrich GlasLock Optifoil</t>
  </si>
  <si>
    <t>Impeller 1 blade count</t>
  </si>
  <si>
    <t>Axial, int. solidity</t>
  </si>
  <si>
    <t>Gassing</t>
  </si>
  <si>
    <t>Impeller 2 blade count</t>
  </si>
  <si>
    <t>Impeller 3 blade count</t>
  </si>
  <si>
    <t>Impeller 3 blade angle</t>
  </si>
  <si>
    <t>Radial</t>
  </si>
  <si>
    <t>Aspect ratio (H/D)</t>
  </si>
  <si>
    <t>m/m</t>
  </si>
  <si>
    <t>Shell lining</t>
  </si>
  <si>
    <t>None</t>
  </si>
  <si>
    <t>Glass 3009</t>
  </si>
  <si>
    <t>R-301</t>
  </si>
  <si>
    <t>R-302</t>
  </si>
  <si>
    <t>De Dietrich</t>
  </si>
  <si>
    <t>ACW</t>
  </si>
  <si>
    <t>Baffle count</t>
  </si>
  <si>
    <t>Conical</t>
  </si>
  <si>
    <t xml:space="preserve">Bottom dish height </t>
  </si>
  <si>
    <t>Top dish height</t>
  </si>
  <si>
    <t>Bottom dish type</t>
  </si>
  <si>
    <t>Top dish type</t>
  </si>
  <si>
    <t>Chevron</t>
  </si>
  <si>
    <t>Baffle thickness</t>
  </si>
  <si>
    <t>Baffle height</t>
  </si>
  <si>
    <t>Baffle offset (gap)</t>
  </si>
  <si>
    <t>Baffle clearance from bottom</t>
  </si>
  <si>
    <t>Heat transfer design</t>
  </si>
  <si>
    <t>Half-pipe jacket and internal coil</t>
  </si>
  <si>
    <t>Jacket</t>
  </si>
  <si>
    <t>R-101</t>
  </si>
  <si>
    <t>R-801</t>
  </si>
  <si>
    <t>Internal diameter (ID)</t>
  </si>
  <si>
    <t>Nominal agitaton speed</t>
  </si>
  <si>
    <t>Max agitation speed</t>
  </si>
  <si>
    <t>Min agitation speed</t>
  </si>
  <si>
    <t>R-102</t>
  </si>
  <si>
    <t>Impeller 2 pumping direction</t>
  </si>
  <si>
    <t>Volume (nominal)</t>
  </si>
  <si>
    <t>R-802</t>
  </si>
  <si>
    <t>Optifoil</t>
  </si>
  <si>
    <t>Pfaudler</t>
  </si>
  <si>
    <t>Glass 9129</t>
  </si>
  <si>
    <t>2PBT</t>
  </si>
  <si>
    <t>Optimix</t>
  </si>
  <si>
    <t>Commercial</t>
  </si>
  <si>
    <t>Jacket nozzle diameter</t>
  </si>
  <si>
    <t>Jacketed bottom dish</t>
  </si>
  <si>
    <t>Yes</t>
  </si>
  <si>
    <t>Max jacket height</t>
  </si>
  <si>
    <t>Jacket tangent height</t>
  </si>
  <si>
    <t>Jacket height (tan-top)</t>
  </si>
  <si>
    <t>Carbon steel (SA-516)</t>
  </si>
  <si>
    <t>Jacket inside diameter</t>
  </si>
  <si>
    <t>Jacket volume</t>
  </si>
  <si>
    <t>Jacket type</t>
  </si>
  <si>
    <t>Annular</t>
  </si>
  <si>
    <t xml:space="preserve">Straight wall height (tan-tan) </t>
  </si>
  <si>
    <t>Max height</t>
  </si>
  <si>
    <t>Jacket nozzle area</t>
  </si>
  <si>
    <t>Est. flow rate</t>
  </si>
  <si>
    <t>Jacket material</t>
  </si>
  <si>
    <t>L/s</t>
  </si>
  <si>
    <t>R-C01</t>
  </si>
  <si>
    <t>Volume max</t>
  </si>
  <si>
    <t>Volume min</t>
  </si>
  <si>
    <t>Impeller 1 blade angle</t>
  </si>
  <si>
    <t>Impeller 2 shaft offset</t>
  </si>
  <si>
    <t>Impeller 2 offset from T.L</t>
  </si>
  <si>
    <t>Impeller 3 D/Dt</t>
  </si>
  <si>
    <t>Impeller 3 height</t>
  </si>
  <si>
    <t>Impeller 3 shaft offset</t>
  </si>
  <si>
    <t>Impeller 3 offset from T.L</t>
  </si>
  <si>
    <t>R-3156 Mod</t>
  </si>
  <si>
    <t>Half-pipe jacket</t>
  </si>
  <si>
    <t>Impeller 1 power number</t>
  </si>
  <si>
    <t>Impeller 2 power number</t>
  </si>
  <si>
    <t>Impeller 3 power number</t>
  </si>
  <si>
    <t>Cambrex</t>
  </si>
  <si>
    <t>Type 1B</t>
  </si>
  <si>
    <t>Glass</t>
  </si>
  <si>
    <t>Type 3</t>
  </si>
  <si>
    <t>SS</t>
  </si>
  <si>
    <t>EasyMax 102 HP</t>
  </si>
  <si>
    <t>Optimax 1 L</t>
  </si>
  <si>
    <t>TSHO</t>
  </si>
  <si>
    <t>Optimax</t>
  </si>
  <si>
    <t>Flat</t>
  </si>
  <si>
    <t>HE-3</t>
  </si>
  <si>
    <t>﻿Hastelloy (SB 575 C-276)</t>
  </si>
  <si>
    <t>Tolan</t>
  </si>
  <si>
    <t>CTJ-32-100</t>
  </si>
  <si>
    <t>Dual 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</si>
</sst>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1" fillId="4" borderId="2" xfId="0" applyFont="1" applyFill="1" applyBorder="1"/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7" xfId="0" applyFont="1" applyFill="1" applyBorder="1"/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1" fillId="4" borderId="13" xfId="0" applyFont="1" applyFill="1" applyBorder="1"/>
    <xf numFmtId="0" fontId="3" fillId="4" borderId="14" xfId="0" applyFont="1" applyFill="1" applyBorder="1" applyAlignment="1">
      <alignment horizontal="center"/>
    </xf>
    <xf numFmtId="0" fontId="1" fillId="4" borderId="5" xfId="0" applyFont="1" applyFill="1" applyBorder="1"/>
    <xf numFmtId="0" fontId="3" fillId="4" borderId="6" xfId="0" applyFont="1" applyFill="1" applyBorder="1" applyAlignment="1">
      <alignment horizontal="center"/>
    </xf>
    <xf numFmtId="0" fontId="3" fillId="4" borderId="6" xfId="0" quotePrefix="1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5" xfId="0" applyFont="1" applyFill="1" applyBorder="1"/>
    <xf numFmtId="0" fontId="0" fillId="4" borderId="1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5" xfId="0" applyFont="1" applyFill="1" applyBorder="1" applyAlignment="1">
      <alignment wrapText="1"/>
    </xf>
    <xf numFmtId="0" fontId="3" fillId="4" borderId="6" xfId="0" quotePrefix="1" applyFont="1" applyFill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1" xfId="0" quotePrefix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2" fontId="0" fillId="4" borderId="10" xfId="0" applyNumberFormat="1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0" fontId="4" fillId="4" borderId="6" xfId="0" quotePrefix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4" borderId="1" xfId="0" quotePrefix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4B8E1-251C-4EB3-B190-561AE272850C}">
  <dimension ref="A1:W89"/>
  <sheetViews>
    <sheetView showGridLines="0" tabSelected="1" zoomScale="80" zoomScaleNormal="8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46" sqref="K46:N57"/>
    </sheetView>
  </sheetViews>
  <sheetFormatPr baseColWidth="10" defaultColWidth="8.83203125" defaultRowHeight="15" x14ac:dyDescent="0.2"/>
  <cols>
    <col min="1" max="1" width="29.1640625" customWidth="1"/>
    <col min="2" max="2" width="8.83203125" style="2" customWidth="1"/>
    <col min="3" max="5" width="16.83203125" customWidth="1"/>
    <col min="6" max="6" width="23.83203125" customWidth="1"/>
    <col min="7" max="7" width="16.83203125" customWidth="1"/>
    <col min="8" max="8" width="23" bestFit="1" customWidth="1"/>
    <col min="9" max="9" width="16.83203125" customWidth="1"/>
    <col min="10" max="10" width="20.33203125" customWidth="1"/>
    <col min="11" max="14" width="16.83203125" customWidth="1"/>
    <col min="15" max="17" width="17.5" customWidth="1"/>
    <col min="18" max="20" width="17" customWidth="1"/>
    <col min="21" max="21" width="18.5" customWidth="1"/>
    <col min="22" max="22" width="20.1640625" customWidth="1"/>
    <col min="23" max="23" width="16.5" customWidth="1"/>
  </cols>
  <sheetData>
    <row r="1" spans="1:23" x14ac:dyDescent="0.2">
      <c r="A1" s="3" t="s">
        <v>0</v>
      </c>
      <c r="B1" s="11"/>
      <c r="C1" s="9" t="s">
        <v>169</v>
      </c>
      <c r="D1" s="9" t="s">
        <v>169</v>
      </c>
      <c r="E1" s="9" t="s">
        <v>169</v>
      </c>
      <c r="F1" s="9" t="s">
        <v>169</v>
      </c>
      <c r="G1" s="9" t="s">
        <v>169</v>
      </c>
      <c r="H1" s="9" t="s">
        <v>169</v>
      </c>
      <c r="I1" s="9" t="s">
        <v>169</v>
      </c>
      <c r="J1" s="9" t="s">
        <v>169</v>
      </c>
      <c r="K1" s="9" t="s">
        <v>169</v>
      </c>
      <c r="L1" s="9" t="s">
        <v>169</v>
      </c>
      <c r="M1" s="9" t="s">
        <v>169</v>
      </c>
      <c r="N1" s="9" t="s">
        <v>169</v>
      </c>
      <c r="O1" s="4" t="s">
        <v>67</v>
      </c>
      <c r="P1" s="4" t="s">
        <v>67</v>
      </c>
      <c r="Q1" s="4" t="s">
        <v>67</v>
      </c>
      <c r="R1" s="4" t="s">
        <v>68</v>
      </c>
      <c r="S1" s="4" t="s">
        <v>68</v>
      </c>
      <c r="T1" s="4" t="s">
        <v>68</v>
      </c>
      <c r="U1" s="4" t="s">
        <v>68</v>
      </c>
      <c r="V1" s="4" t="s">
        <v>68</v>
      </c>
      <c r="W1" s="5" t="s">
        <v>68</v>
      </c>
    </row>
    <row r="2" spans="1:23" ht="16" thickBot="1" x14ac:dyDescent="0.25">
      <c r="A2" s="6" t="s">
        <v>2</v>
      </c>
      <c r="B2" s="12"/>
      <c r="C2" s="10" t="s">
        <v>3</v>
      </c>
      <c r="D2" s="10" t="s">
        <v>164</v>
      </c>
      <c r="E2" s="7" t="s">
        <v>57</v>
      </c>
      <c r="F2" s="7" t="s">
        <v>55</v>
      </c>
      <c r="G2" s="7" t="s">
        <v>56</v>
      </c>
      <c r="H2" s="7" t="s">
        <v>154</v>
      </c>
      <c r="I2" s="7" t="s">
        <v>121</v>
      </c>
      <c r="J2" s="7" t="s">
        <v>127</v>
      </c>
      <c r="K2" s="7" t="s">
        <v>103</v>
      </c>
      <c r="L2" s="7" t="s">
        <v>104</v>
      </c>
      <c r="M2" s="7" t="s">
        <v>122</v>
      </c>
      <c r="N2" s="7" t="s">
        <v>130</v>
      </c>
      <c r="O2" s="7" t="s">
        <v>66</v>
      </c>
      <c r="P2" s="7" t="s">
        <v>175</v>
      </c>
      <c r="Q2" s="7" t="s">
        <v>174</v>
      </c>
      <c r="R2" s="7" t="s">
        <v>44</v>
      </c>
      <c r="S2" s="7" t="s">
        <v>69</v>
      </c>
      <c r="T2" s="7" t="s">
        <v>70</v>
      </c>
      <c r="U2" s="7" t="s">
        <v>71</v>
      </c>
      <c r="V2" s="7" t="s">
        <v>73</v>
      </c>
      <c r="W2" s="8" t="s">
        <v>72</v>
      </c>
    </row>
    <row r="3" spans="1:23" x14ac:dyDescent="0.2">
      <c r="A3" s="13" t="s">
        <v>1</v>
      </c>
      <c r="B3" s="14"/>
      <c r="C3" s="19" t="s">
        <v>53</v>
      </c>
      <c r="D3" s="19" t="s">
        <v>53</v>
      </c>
      <c r="E3" s="20" t="s">
        <v>53</v>
      </c>
      <c r="F3" s="20" t="s">
        <v>54</v>
      </c>
      <c r="G3" s="20" t="s">
        <v>54</v>
      </c>
      <c r="H3" s="20" t="s">
        <v>54</v>
      </c>
      <c r="I3" s="20" t="s">
        <v>54</v>
      </c>
      <c r="J3" s="20" t="s">
        <v>54</v>
      </c>
      <c r="K3" s="20" t="s">
        <v>54</v>
      </c>
      <c r="L3" s="20" t="s">
        <v>54</v>
      </c>
      <c r="M3" s="20" t="s">
        <v>54</v>
      </c>
      <c r="N3" s="20" t="s">
        <v>54</v>
      </c>
      <c r="O3" s="20" t="s">
        <v>61</v>
      </c>
      <c r="P3" s="20" t="s">
        <v>176</v>
      </c>
      <c r="Q3" s="20" t="s">
        <v>61</v>
      </c>
      <c r="R3" s="20" t="s">
        <v>60</v>
      </c>
      <c r="S3" s="20" t="s">
        <v>60</v>
      </c>
      <c r="T3" s="20" t="s">
        <v>60</v>
      </c>
      <c r="U3" s="20" t="s">
        <v>60</v>
      </c>
      <c r="V3" s="20" t="s">
        <v>60</v>
      </c>
      <c r="W3" s="21" t="s">
        <v>60</v>
      </c>
    </row>
    <row r="4" spans="1:23" x14ac:dyDescent="0.2">
      <c r="A4" s="15" t="s">
        <v>36</v>
      </c>
      <c r="B4" s="16"/>
      <c r="C4" s="22"/>
      <c r="D4" s="22"/>
      <c r="E4" s="1" t="s">
        <v>132</v>
      </c>
      <c r="F4" s="1" t="s">
        <v>105</v>
      </c>
      <c r="G4" s="1"/>
      <c r="H4" s="1" t="s">
        <v>105</v>
      </c>
      <c r="I4" s="1" t="s">
        <v>105</v>
      </c>
      <c r="J4" s="1" t="s">
        <v>181</v>
      </c>
      <c r="K4" s="1" t="s">
        <v>105</v>
      </c>
      <c r="L4" s="1" t="s">
        <v>105</v>
      </c>
      <c r="M4" s="1" t="s">
        <v>105</v>
      </c>
      <c r="N4" s="1" t="s">
        <v>105</v>
      </c>
      <c r="O4" s="1" t="s">
        <v>37</v>
      </c>
      <c r="P4" s="1" t="s">
        <v>38</v>
      </c>
      <c r="Q4" s="1" t="s">
        <v>38</v>
      </c>
      <c r="R4" s="1" t="s">
        <v>38</v>
      </c>
      <c r="S4" s="1" t="s">
        <v>38</v>
      </c>
      <c r="T4" s="1" t="s">
        <v>38</v>
      </c>
      <c r="U4" s="1" t="s">
        <v>38</v>
      </c>
      <c r="V4" s="1" t="s">
        <v>38</v>
      </c>
      <c r="W4" s="23" t="s">
        <v>37</v>
      </c>
    </row>
    <row r="5" spans="1:23" x14ac:dyDescent="0.2">
      <c r="A5" s="15" t="s">
        <v>39</v>
      </c>
      <c r="B5" s="16"/>
      <c r="C5" s="22"/>
      <c r="D5" s="22"/>
      <c r="E5" s="1"/>
      <c r="F5" s="1"/>
      <c r="G5" s="1"/>
      <c r="H5" s="1" t="s">
        <v>135</v>
      </c>
      <c r="I5" s="44" t="s">
        <v>182</v>
      </c>
      <c r="J5" s="1"/>
      <c r="K5" s="1"/>
      <c r="L5" s="1"/>
      <c r="M5" s="1"/>
      <c r="N5" s="1" t="s">
        <v>135</v>
      </c>
      <c r="O5" s="1" t="s">
        <v>170</v>
      </c>
      <c r="P5" s="1" t="s">
        <v>177</v>
      </c>
      <c r="Q5" s="1" t="s">
        <v>44</v>
      </c>
      <c r="R5" s="1" t="s">
        <v>44</v>
      </c>
      <c r="S5" s="1" t="s">
        <v>41</v>
      </c>
      <c r="T5" s="1" t="s">
        <v>42</v>
      </c>
      <c r="U5" s="1" t="s">
        <v>43</v>
      </c>
      <c r="V5" s="1" t="s">
        <v>40</v>
      </c>
      <c r="W5" s="23" t="s">
        <v>172</v>
      </c>
    </row>
    <row r="6" spans="1:23" x14ac:dyDescent="0.2">
      <c r="A6" s="15" t="s">
        <v>129</v>
      </c>
      <c r="B6" s="16" t="s">
        <v>15</v>
      </c>
      <c r="C6" s="22">
        <v>4542</v>
      </c>
      <c r="D6" s="22">
        <v>4542</v>
      </c>
      <c r="E6" s="24">
        <f>CONVERT(200, "gal", "l")</f>
        <v>757.08235679999996</v>
      </c>
      <c r="F6" s="1">
        <v>2165</v>
      </c>
      <c r="G6" s="1"/>
      <c r="H6" s="24">
        <f>CONVERT(300,"gal", "l")</f>
        <v>1135.6235351999999</v>
      </c>
      <c r="I6" s="24">
        <f>CONVERT(145,"gal","l")</f>
        <v>548.88470868000002</v>
      </c>
      <c r="J6" s="1">
        <v>546</v>
      </c>
      <c r="K6" s="24">
        <f>CONVERT(222,"gal","l")</f>
        <v>840.36141604800002</v>
      </c>
      <c r="L6" s="24">
        <f>CONVERT(222,"gal","l")</f>
        <v>840.36141604800002</v>
      </c>
      <c r="M6" s="24">
        <f>CONVERT(222,"gal","l")</f>
        <v>840.36141604800002</v>
      </c>
      <c r="N6" s="24">
        <f>CONVERT(256.5,"gal","l")</f>
        <v>970.95812259599995</v>
      </c>
      <c r="O6" s="1">
        <v>1.6</v>
      </c>
      <c r="P6" s="1"/>
      <c r="Q6" s="1">
        <v>0.1</v>
      </c>
      <c r="R6" s="1">
        <v>0.1</v>
      </c>
      <c r="S6" s="1">
        <v>1</v>
      </c>
      <c r="T6" s="1">
        <v>1</v>
      </c>
      <c r="U6" s="1">
        <v>2</v>
      </c>
      <c r="V6" s="1">
        <v>5</v>
      </c>
      <c r="W6" s="23">
        <v>20</v>
      </c>
    </row>
    <row r="7" spans="1:23" x14ac:dyDescent="0.2">
      <c r="A7" s="15" t="s">
        <v>155</v>
      </c>
      <c r="B7" s="16" t="s">
        <v>15</v>
      </c>
      <c r="C7" s="22"/>
      <c r="D7" s="22"/>
      <c r="E7" s="45"/>
      <c r="F7" s="22">
        <v>1892</v>
      </c>
      <c r="G7" s="22"/>
      <c r="H7" s="45">
        <v>1322</v>
      </c>
      <c r="I7" s="45">
        <v>429</v>
      </c>
      <c r="J7" s="22">
        <v>439</v>
      </c>
      <c r="K7" s="45"/>
      <c r="L7" s="45"/>
      <c r="M7" s="45"/>
      <c r="N7" s="45">
        <f>CONVERT(200,"gal","l")</f>
        <v>757.08235679999996</v>
      </c>
      <c r="O7" s="26">
        <v>1</v>
      </c>
      <c r="P7" s="26">
        <v>1</v>
      </c>
      <c r="Q7" s="1">
        <v>0.1</v>
      </c>
      <c r="R7" s="1">
        <v>0.1</v>
      </c>
      <c r="S7" s="1"/>
      <c r="T7" s="1"/>
      <c r="U7" s="1"/>
      <c r="V7" s="1">
        <v>4</v>
      </c>
      <c r="W7" s="23">
        <v>21.7</v>
      </c>
    </row>
    <row r="8" spans="1:23" x14ac:dyDescent="0.2">
      <c r="A8" s="15" t="s">
        <v>156</v>
      </c>
      <c r="B8" s="16" t="s">
        <v>15</v>
      </c>
      <c r="C8" s="22"/>
      <c r="D8" s="22"/>
      <c r="E8" s="45"/>
      <c r="F8" s="22">
        <v>378</v>
      </c>
      <c r="G8" s="22"/>
      <c r="H8" s="45">
        <v>378</v>
      </c>
      <c r="I8" s="45">
        <v>38</v>
      </c>
      <c r="J8" s="22">
        <v>20</v>
      </c>
      <c r="K8" s="45"/>
      <c r="L8" s="45"/>
      <c r="M8" s="45"/>
      <c r="N8" s="45">
        <f>CONVERT(50,"gal","l")</f>
        <v>189.27058919999999</v>
      </c>
      <c r="O8" s="1">
        <v>0.1</v>
      </c>
      <c r="P8" s="1"/>
      <c r="Q8" s="1">
        <v>0.03</v>
      </c>
      <c r="R8" s="1">
        <v>0.03</v>
      </c>
      <c r="S8" s="1"/>
      <c r="T8" s="1"/>
      <c r="U8" s="1"/>
      <c r="V8" s="1">
        <v>1.3</v>
      </c>
      <c r="W8" s="23">
        <v>2</v>
      </c>
    </row>
    <row r="9" spans="1:23" x14ac:dyDescent="0.2">
      <c r="A9" s="15" t="s">
        <v>4</v>
      </c>
      <c r="B9" s="16"/>
      <c r="C9" s="22" t="s">
        <v>136</v>
      </c>
      <c r="D9" s="22" t="s">
        <v>136</v>
      </c>
      <c r="E9" s="22" t="s">
        <v>136</v>
      </c>
      <c r="F9" s="22" t="s">
        <v>136</v>
      </c>
      <c r="G9" s="22" t="s">
        <v>136</v>
      </c>
      <c r="H9" s="22" t="s">
        <v>136</v>
      </c>
      <c r="I9" s="22" t="s">
        <v>74</v>
      </c>
      <c r="J9" s="22" t="s">
        <v>74</v>
      </c>
      <c r="K9" s="22" t="s">
        <v>136</v>
      </c>
      <c r="L9" s="22" t="s">
        <v>136</v>
      </c>
      <c r="M9" s="22" t="s">
        <v>136</v>
      </c>
      <c r="N9" s="22" t="s">
        <v>136</v>
      </c>
      <c r="O9" s="1" t="s">
        <v>74</v>
      </c>
      <c r="P9" s="1"/>
      <c r="Q9" s="1" t="s">
        <v>34</v>
      </c>
      <c r="R9" s="1" t="s">
        <v>34</v>
      </c>
      <c r="S9" s="1" t="s">
        <v>34</v>
      </c>
      <c r="T9" s="1" t="s">
        <v>34</v>
      </c>
      <c r="U9" s="1" t="s">
        <v>74</v>
      </c>
      <c r="V9" s="1" t="s">
        <v>74</v>
      </c>
      <c r="W9" s="23" t="s">
        <v>33</v>
      </c>
    </row>
    <row r="10" spans="1:23" x14ac:dyDescent="0.2">
      <c r="A10" s="33" t="s">
        <v>123</v>
      </c>
      <c r="B10" s="16" t="s">
        <v>11</v>
      </c>
      <c r="C10" s="22">
        <f>54*25.4</f>
        <v>1371.6</v>
      </c>
      <c r="D10" s="22">
        <f>54*25.4</f>
        <v>1371.6</v>
      </c>
      <c r="E10" s="1">
        <v>1016</v>
      </c>
      <c r="F10" s="1">
        <v>1218</v>
      </c>
      <c r="G10" s="1">
        <v>1350</v>
      </c>
      <c r="H10" s="1">
        <f>1250-32</f>
        <v>1218</v>
      </c>
      <c r="I10" s="1">
        <v>813</v>
      </c>
      <c r="J10" s="1">
        <f>32*25.4</f>
        <v>812.8</v>
      </c>
      <c r="K10" s="1">
        <f>1000-2*K58</f>
        <v>972</v>
      </c>
      <c r="L10" s="1">
        <f>1000-2*L58</f>
        <v>972</v>
      </c>
      <c r="M10" s="1">
        <f>1000-2*M58</f>
        <v>972</v>
      </c>
      <c r="N10" s="1">
        <f>1000-2*N58</f>
        <v>972</v>
      </c>
      <c r="O10" s="1">
        <v>82</v>
      </c>
      <c r="P10" s="1"/>
      <c r="Q10" s="1">
        <v>52</v>
      </c>
      <c r="R10" s="1">
        <v>52</v>
      </c>
      <c r="S10" s="1"/>
      <c r="T10" s="1"/>
      <c r="U10" s="1"/>
      <c r="V10" s="1">
        <v>148</v>
      </c>
      <c r="W10" s="23">
        <v>276</v>
      </c>
    </row>
    <row r="11" spans="1:23" x14ac:dyDescent="0.2">
      <c r="A11" s="15" t="s">
        <v>148</v>
      </c>
      <c r="B11" s="16" t="s">
        <v>11</v>
      </c>
      <c r="C11" s="22">
        <f>120*25.4</f>
        <v>3048</v>
      </c>
      <c r="D11" s="22">
        <f>120*25.4</f>
        <v>3048</v>
      </c>
      <c r="E11" s="1">
        <v>901.7</v>
      </c>
      <c r="F11" s="1">
        <v>1775</v>
      </c>
      <c r="G11" s="1">
        <v>1803</v>
      </c>
      <c r="H11" s="1">
        <v>832</v>
      </c>
      <c r="I11" s="1">
        <f>718+3*25.4</f>
        <v>794.2</v>
      </c>
      <c r="J11" s="1">
        <f>(2.5+28.25)*25.4</f>
        <v>781.05</v>
      </c>
      <c r="K11" s="1">
        <f t="shared" ref="K11:M11" si="0">969+11+92</f>
        <v>1072</v>
      </c>
      <c r="L11" s="1">
        <f t="shared" si="0"/>
        <v>1072</v>
      </c>
      <c r="M11" s="1">
        <f t="shared" si="0"/>
        <v>1072</v>
      </c>
      <c r="N11" s="1">
        <f>969+11+92</f>
        <v>1072</v>
      </c>
      <c r="O11" s="24">
        <v>285</v>
      </c>
      <c r="P11" s="24"/>
      <c r="Q11" s="24">
        <v>87.5</v>
      </c>
      <c r="R11" s="24">
        <v>87.5</v>
      </c>
      <c r="S11" s="24"/>
      <c r="T11" s="24"/>
      <c r="U11" s="1"/>
      <c r="V11" s="1">
        <f>215+23</f>
        <v>238</v>
      </c>
      <c r="W11" s="23">
        <f>293.7+15</f>
        <v>308.7</v>
      </c>
    </row>
    <row r="12" spans="1:23" x14ac:dyDescent="0.2">
      <c r="A12" s="15" t="s">
        <v>149</v>
      </c>
      <c r="B12" s="16" t="s">
        <v>11</v>
      </c>
      <c r="C12" s="45">
        <f>C11+C16</f>
        <v>3390.9</v>
      </c>
      <c r="D12" s="45">
        <f>D11+D16</f>
        <v>3390.9</v>
      </c>
      <c r="E12" s="45">
        <f t="shared" ref="E12:W12" si="1">E11+E16</f>
        <v>1155.7</v>
      </c>
      <c r="F12" s="45">
        <f t="shared" si="1"/>
        <v>2079.5</v>
      </c>
      <c r="G12" s="45">
        <f t="shared" si="1"/>
        <v>2140.5</v>
      </c>
      <c r="H12" s="45">
        <f t="shared" si="1"/>
        <v>1140</v>
      </c>
      <c r="I12" s="45">
        <f t="shared" si="1"/>
        <v>998.2</v>
      </c>
      <c r="J12" s="45">
        <f t="shared" si="1"/>
        <v>966.78749999999991</v>
      </c>
      <c r="K12" s="45">
        <f t="shared" si="1"/>
        <v>1583</v>
      </c>
      <c r="L12" s="45">
        <f t="shared" si="1"/>
        <v>1583</v>
      </c>
      <c r="M12" s="45">
        <f t="shared" si="1"/>
        <v>1583</v>
      </c>
      <c r="N12" s="45">
        <f t="shared" si="1"/>
        <v>1259</v>
      </c>
      <c r="O12" s="45">
        <f t="shared" si="1"/>
        <v>285</v>
      </c>
      <c r="P12" s="45"/>
      <c r="Q12" s="45">
        <f t="shared" ref="Q12" si="2">Q11+Q16</f>
        <v>87.5</v>
      </c>
      <c r="R12" s="45">
        <f t="shared" si="1"/>
        <v>87.5</v>
      </c>
      <c r="S12" s="45">
        <f t="shared" si="1"/>
        <v>0</v>
      </c>
      <c r="T12" s="45">
        <f t="shared" si="1"/>
        <v>0</v>
      </c>
      <c r="U12" s="45">
        <f t="shared" si="1"/>
        <v>0</v>
      </c>
      <c r="V12" s="45">
        <f t="shared" si="1"/>
        <v>265</v>
      </c>
      <c r="W12" s="45">
        <f t="shared" si="1"/>
        <v>405.7</v>
      </c>
    </row>
    <row r="13" spans="1:23" x14ac:dyDescent="0.2">
      <c r="A13" s="15" t="s">
        <v>98</v>
      </c>
      <c r="B13" s="17" t="s">
        <v>99</v>
      </c>
      <c r="C13" s="25">
        <f>(C11+C16)/C10</f>
        <v>2.4722222222222223</v>
      </c>
      <c r="D13" s="25">
        <f>(D11+D16)/D10</f>
        <v>2.4722222222222223</v>
      </c>
      <c r="E13" s="25">
        <f t="shared" ref="E13:W13" si="3">(E11+E16)/E10</f>
        <v>1.1375</v>
      </c>
      <c r="F13" s="25">
        <f t="shared" si="3"/>
        <v>1.7073070607553367</v>
      </c>
      <c r="G13" s="25">
        <f t="shared" si="3"/>
        <v>1.5855555555555556</v>
      </c>
      <c r="H13" s="27">
        <f t="shared" si="3"/>
        <v>0.93596059113300489</v>
      </c>
      <c r="I13" s="27">
        <f t="shared" si="3"/>
        <v>1.2277982779827799</v>
      </c>
      <c r="J13" s="27">
        <f t="shared" si="3"/>
        <v>1.189453125</v>
      </c>
      <c r="K13" s="27">
        <f t="shared" si="3"/>
        <v>1.6286008230452675</v>
      </c>
      <c r="L13" s="27">
        <f t="shared" si="3"/>
        <v>1.6286008230452675</v>
      </c>
      <c r="M13" s="27">
        <f t="shared" si="3"/>
        <v>1.6286008230452675</v>
      </c>
      <c r="N13" s="27">
        <f t="shared" si="3"/>
        <v>1.2952674897119341</v>
      </c>
      <c r="O13" s="27">
        <f t="shared" si="3"/>
        <v>3.475609756097561</v>
      </c>
      <c r="P13" s="27"/>
      <c r="Q13" s="27">
        <f t="shared" ref="Q13" si="4">(Q11+Q16)/Q10</f>
        <v>1.6826923076923077</v>
      </c>
      <c r="R13" s="27">
        <f t="shared" si="3"/>
        <v>1.6826923076923077</v>
      </c>
      <c r="S13" s="25" t="e">
        <f t="shared" si="3"/>
        <v>#DIV/0!</v>
      </c>
      <c r="T13" s="25" t="e">
        <f t="shared" si="3"/>
        <v>#DIV/0!</v>
      </c>
      <c r="U13" s="25" t="e">
        <f t="shared" si="3"/>
        <v>#DIV/0!</v>
      </c>
      <c r="V13" s="25">
        <f t="shared" si="3"/>
        <v>1.7905405405405406</v>
      </c>
      <c r="W13" s="25">
        <f t="shared" si="3"/>
        <v>1.469927536231884</v>
      </c>
    </row>
    <row r="14" spans="1:23" x14ac:dyDescent="0.2">
      <c r="A14" s="15" t="s">
        <v>112</v>
      </c>
      <c r="B14" s="17" t="s">
        <v>50</v>
      </c>
      <c r="C14" s="22" t="s">
        <v>5</v>
      </c>
      <c r="D14" s="22" t="s">
        <v>5</v>
      </c>
      <c r="E14" s="22" t="s">
        <v>5</v>
      </c>
      <c r="F14" s="1" t="s">
        <v>5</v>
      </c>
      <c r="G14" s="1" t="s">
        <v>5</v>
      </c>
      <c r="H14" s="1" t="s">
        <v>5</v>
      </c>
      <c r="I14" s="36" t="s">
        <v>5</v>
      </c>
      <c r="J14" s="36" t="s">
        <v>5</v>
      </c>
      <c r="K14" s="36" t="s">
        <v>5</v>
      </c>
      <c r="L14" s="36" t="s">
        <v>5</v>
      </c>
      <c r="M14" s="36" t="s">
        <v>5</v>
      </c>
      <c r="N14" s="36" t="s">
        <v>5</v>
      </c>
      <c r="O14" s="1" t="s">
        <v>27</v>
      </c>
      <c r="P14" s="1"/>
      <c r="Q14" s="1" t="s">
        <v>75</v>
      </c>
      <c r="R14" s="1" t="s">
        <v>75</v>
      </c>
      <c r="S14" s="1"/>
      <c r="T14" s="1"/>
      <c r="U14" s="1"/>
      <c r="V14" s="1"/>
      <c r="W14" s="23" t="s">
        <v>45</v>
      </c>
    </row>
    <row r="15" spans="1:23" x14ac:dyDescent="0.2">
      <c r="A15" s="15" t="s">
        <v>111</v>
      </c>
      <c r="B15" s="17" t="s">
        <v>50</v>
      </c>
      <c r="C15" s="22" t="s">
        <v>5</v>
      </c>
      <c r="D15" s="22" t="s">
        <v>5</v>
      </c>
      <c r="E15" s="22" t="s">
        <v>5</v>
      </c>
      <c r="F15" s="1" t="s">
        <v>5</v>
      </c>
      <c r="G15" s="1" t="s">
        <v>5</v>
      </c>
      <c r="H15" s="1" t="s">
        <v>5</v>
      </c>
      <c r="I15" s="36" t="s">
        <v>5</v>
      </c>
      <c r="J15" s="36" t="s">
        <v>5</v>
      </c>
      <c r="K15" s="46" t="s">
        <v>108</v>
      </c>
      <c r="L15" s="46" t="s">
        <v>108</v>
      </c>
      <c r="M15" s="46" t="s">
        <v>108</v>
      </c>
      <c r="N15" s="36" t="s">
        <v>5</v>
      </c>
      <c r="O15" s="1"/>
      <c r="P15" s="1"/>
      <c r="Q15" s="1"/>
      <c r="R15" s="1"/>
      <c r="S15" s="1"/>
      <c r="T15" s="1"/>
      <c r="U15" s="1"/>
      <c r="V15" s="1"/>
      <c r="W15" s="23"/>
    </row>
    <row r="16" spans="1:23" x14ac:dyDescent="0.2">
      <c r="A16" s="15" t="s">
        <v>109</v>
      </c>
      <c r="B16" s="16" t="s">
        <v>11</v>
      </c>
      <c r="C16" s="22">
        <f>C10/4</f>
        <v>342.9</v>
      </c>
      <c r="D16" s="22">
        <f>D10/4</f>
        <v>342.9</v>
      </c>
      <c r="E16" s="22">
        <f>E10/4</f>
        <v>254</v>
      </c>
      <c r="F16" s="1">
        <f>F10/4</f>
        <v>304.5</v>
      </c>
      <c r="G16" s="1">
        <f>G10/4</f>
        <v>337.5</v>
      </c>
      <c r="H16" s="1">
        <v>308</v>
      </c>
      <c r="I16" s="1">
        <v>204</v>
      </c>
      <c r="J16" s="24">
        <f>(36+5/16-29)*25.4</f>
        <v>185.73749999999998</v>
      </c>
      <c r="K16" s="1">
        <v>511</v>
      </c>
      <c r="L16" s="1">
        <v>511</v>
      </c>
      <c r="M16" s="1">
        <v>511</v>
      </c>
      <c r="N16" s="1">
        <v>187</v>
      </c>
      <c r="O16" s="1"/>
      <c r="P16" s="1"/>
      <c r="Q16" s="1"/>
      <c r="R16" s="1"/>
      <c r="S16" s="1"/>
      <c r="T16" s="1"/>
      <c r="U16" s="1"/>
      <c r="V16" s="1">
        <v>27</v>
      </c>
      <c r="W16" s="23">
        <v>97</v>
      </c>
    </row>
    <row r="17" spans="1:23" x14ac:dyDescent="0.2">
      <c r="A17" s="15" t="s">
        <v>110</v>
      </c>
      <c r="B17" s="16" t="s">
        <v>11</v>
      </c>
      <c r="C17" s="22"/>
      <c r="D17" s="22"/>
      <c r="E17" s="1"/>
      <c r="F17" s="1"/>
      <c r="G17" s="1"/>
      <c r="H17" s="1">
        <v>308</v>
      </c>
      <c r="I17" s="1">
        <v>203</v>
      </c>
      <c r="J17" s="1"/>
      <c r="K17" s="1"/>
      <c r="L17" s="1"/>
      <c r="M17" s="1"/>
      <c r="N17" s="1">
        <v>187</v>
      </c>
      <c r="O17" s="1"/>
      <c r="P17" s="1"/>
      <c r="Q17" s="1"/>
      <c r="R17" s="1"/>
      <c r="S17" s="1"/>
      <c r="T17" s="1"/>
      <c r="U17" s="1"/>
      <c r="V17" s="1"/>
      <c r="W17" s="23"/>
    </row>
    <row r="18" spans="1:23" x14ac:dyDescent="0.2">
      <c r="A18" s="15" t="s">
        <v>16</v>
      </c>
      <c r="B18" s="16" t="s">
        <v>11</v>
      </c>
      <c r="C18" s="25">
        <f>(135.5+8.62)*25.4</f>
        <v>3660.6479999999997</v>
      </c>
      <c r="D18" s="25">
        <f>(135.5+8.62)*25.4</f>
        <v>3660.6479999999997</v>
      </c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1"/>
      <c r="P18" s="1"/>
      <c r="Q18" s="1"/>
      <c r="R18" s="1"/>
      <c r="S18" s="1"/>
      <c r="T18" s="1"/>
      <c r="U18" s="1"/>
      <c r="V18" s="1">
        <v>254</v>
      </c>
      <c r="W18" s="23"/>
    </row>
    <row r="19" spans="1:23" x14ac:dyDescent="0.2">
      <c r="A19" s="15" t="s">
        <v>17</v>
      </c>
      <c r="B19" s="16" t="s">
        <v>11</v>
      </c>
      <c r="C19" s="22">
        <f>3*25.4</f>
        <v>76.199999999999989</v>
      </c>
      <c r="D19" s="22">
        <f>3*25.4</f>
        <v>76.199999999999989</v>
      </c>
      <c r="E19" s="1"/>
      <c r="F19" s="1"/>
      <c r="G19" s="1">
        <v>50.8</v>
      </c>
      <c r="H19" s="24">
        <f>131/13.23*9</f>
        <v>89.115646258503403</v>
      </c>
      <c r="I19" s="1">
        <v>64</v>
      </c>
      <c r="J19" s="1"/>
      <c r="K19" s="1"/>
      <c r="L19" s="1"/>
      <c r="M19" s="1"/>
      <c r="N19" s="1"/>
      <c r="O19" s="1">
        <v>10</v>
      </c>
      <c r="P19" s="1"/>
      <c r="Q19" s="1"/>
      <c r="R19" s="1"/>
      <c r="S19" s="1"/>
      <c r="T19" s="1"/>
      <c r="U19" s="1"/>
      <c r="V19" s="1">
        <v>9.8000000000000007</v>
      </c>
      <c r="W19" s="23">
        <v>16</v>
      </c>
    </row>
    <row r="20" spans="1:23" x14ac:dyDescent="0.2">
      <c r="A20" s="15" t="s">
        <v>47</v>
      </c>
      <c r="B20" s="17" t="s">
        <v>50</v>
      </c>
      <c r="C20" s="22" t="s">
        <v>48</v>
      </c>
      <c r="D20" s="22" t="s">
        <v>48</v>
      </c>
      <c r="E20" s="1"/>
      <c r="F20" s="1" t="s">
        <v>48</v>
      </c>
      <c r="G20" s="1" t="s">
        <v>48</v>
      </c>
      <c r="H20" s="1" t="s">
        <v>48</v>
      </c>
      <c r="I20" s="1"/>
      <c r="J20" s="1"/>
      <c r="K20" s="1" t="s">
        <v>106</v>
      </c>
      <c r="L20" s="1" t="s">
        <v>106</v>
      </c>
      <c r="M20" s="1" t="s">
        <v>106</v>
      </c>
      <c r="N20" s="1" t="s">
        <v>48</v>
      </c>
      <c r="O20" s="1" t="s">
        <v>48</v>
      </c>
      <c r="P20" s="1"/>
      <c r="Q20" s="1" t="s">
        <v>48</v>
      </c>
      <c r="R20" s="1" t="s">
        <v>48</v>
      </c>
      <c r="S20" s="1"/>
      <c r="T20" s="1"/>
      <c r="U20" s="1"/>
      <c r="V20" s="1" t="s">
        <v>48</v>
      </c>
      <c r="W20" s="23"/>
    </row>
    <row r="21" spans="1:23" x14ac:dyDescent="0.2">
      <c r="A21" s="15" t="s">
        <v>8</v>
      </c>
      <c r="B21" s="17" t="s">
        <v>26</v>
      </c>
      <c r="C21" s="22">
        <v>3</v>
      </c>
      <c r="D21" s="22">
        <v>3</v>
      </c>
      <c r="E21" s="1"/>
      <c r="F21" s="1">
        <v>2</v>
      </c>
      <c r="G21" s="1">
        <v>2</v>
      </c>
      <c r="H21" s="1"/>
      <c r="I21" s="1">
        <v>2</v>
      </c>
      <c r="J21" s="1">
        <v>3</v>
      </c>
      <c r="K21" s="1">
        <v>2</v>
      </c>
      <c r="L21" s="1">
        <v>2</v>
      </c>
      <c r="M21" s="1">
        <v>2</v>
      </c>
      <c r="N21" s="1">
        <v>2</v>
      </c>
      <c r="O21" s="1">
        <v>1</v>
      </c>
      <c r="P21" s="1"/>
      <c r="Q21" s="1">
        <v>1</v>
      </c>
      <c r="R21" s="1">
        <v>1</v>
      </c>
      <c r="S21" s="1"/>
      <c r="T21" s="1"/>
      <c r="U21" s="1"/>
      <c r="V21" s="1">
        <v>1</v>
      </c>
      <c r="W21" s="23">
        <v>1</v>
      </c>
    </row>
    <row r="22" spans="1:23" x14ac:dyDescent="0.2">
      <c r="A22" s="15" t="s">
        <v>30</v>
      </c>
      <c r="B22" s="17" t="s">
        <v>50</v>
      </c>
      <c r="C22" s="22" t="s">
        <v>82</v>
      </c>
      <c r="D22" s="22" t="s">
        <v>82</v>
      </c>
      <c r="E22" s="1"/>
      <c r="F22" s="1" t="s">
        <v>92</v>
      </c>
      <c r="G22" s="1" t="s">
        <v>58</v>
      </c>
      <c r="H22" s="1" t="s">
        <v>59</v>
      </c>
      <c r="I22" s="1" t="s">
        <v>59</v>
      </c>
      <c r="J22" s="1" t="s">
        <v>58</v>
      </c>
      <c r="K22" s="1" t="s">
        <v>113</v>
      </c>
      <c r="L22" s="1" t="s">
        <v>113</v>
      </c>
      <c r="M22" s="1" t="s">
        <v>113</v>
      </c>
      <c r="N22" s="1" t="s">
        <v>58</v>
      </c>
      <c r="O22" s="1" t="s">
        <v>29</v>
      </c>
      <c r="P22" s="1"/>
      <c r="Q22" s="1" t="s">
        <v>93</v>
      </c>
      <c r="R22" s="1" t="s">
        <v>93</v>
      </c>
      <c r="S22" s="1"/>
      <c r="T22" s="1"/>
      <c r="U22" s="1"/>
      <c r="V22" s="1" t="s">
        <v>58</v>
      </c>
      <c r="W22" s="23" t="s">
        <v>59</v>
      </c>
    </row>
    <row r="23" spans="1:23" x14ac:dyDescent="0.2">
      <c r="A23" s="15" t="s">
        <v>78</v>
      </c>
      <c r="B23" s="17" t="s">
        <v>50</v>
      </c>
      <c r="C23" s="22" t="s">
        <v>81</v>
      </c>
      <c r="D23" s="22" t="s">
        <v>81</v>
      </c>
      <c r="E23" s="1"/>
      <c r="F23" s="1" t="s">
        <v>90</v>
      </c>
      <c r="G23" s="1" t="s">
        <v>79</v>
      </c>
      <c r="H23" s="1" t="s">
        <v>90</v>
      </c>
      <c r="I23" s="1" t="s">
        <v>183</v>
      </c>
      <c r="J23" s="1" t="s">
        <v>178</v>
      </c>
      <c r="K23" s="1"/>
      <c r="L23" s="1"/>
      <c r="M23" s="1"/>
      <c r="N23" s="1" t="s">
        <v>131</v>
      </c>
      <c r="O23" s="1"/>
      <c r="P23" s="1"/>
      <c r="Q23" s="1"/>
      <c r="R23" s="1"/>
      <c r="S23" s="1"/>
      <c r="T23" s="1"/>
      <c r="U23" s="1"/>
      <c r="V23" s="1"/>
      <c r="W23" s="23"/>
    </row>
    <row r="24" spans="1:23" x14ac:dyDescent="0.2">
      <c r="A24" s="15" t="s">
        <v>91</v>
      </c>
      <c r="B24" s="17" t="s">
        <v>26</v>
      </c>
      <c r="C24" s="22">
        <v>4</v>
      </c>
      <c r="D24" s="22">
        <v>4</v>
      </c>
      <c r="E24" s="1"/>
      <c r="F24" s="1">
        <v>3</v>
      </c>
      <c r="G24" s="1">
        <v>4</v>
      </c>
      <c r="H24" s="1">
        <v>3</v>
      </c>
      <c r="I24" s="1">
        <v>3</v>
      </c>
      <c r="J24" s="1">
        <v>4</v>
      </c>
      <c r="K24" s="1">
        <v>3</v>
      </c>
      <c r="L24" s="1">
        <v>3</v>
      </c>
      <c r="M24" s="1">
        <v>3</v>
      </c>
      <c r="N24" s="1">
        <v>4</v>
      </c>
      <c r="O24" s="1">
        <v>6</v>
      </c>
      <c r="P24" s="1"/>
      <c r="Q24" s="1">
        <v>4</v>
      </c>
      <c r="R24" s="1">
        <v>4</v>
      </c>
      <c r="S24" s="1"/>
      <c r="T24" s="1"/>
      <c r="U24" s="1"/>
      <c r="V24" s="1"/>
      <c r="W24" s="23"/>
    </row>
    <row r="25" spans="1:23" x14ac:dyDescent="0.2">
      <c r="A25" s="15" t="s">
        <v>157</v>
      </c>
      <c r="B25" s="18" t="s">
        <v>52</v>
      </c>
      <c r="C25" s="22">
        <v>55</v>
      </c>
      <c r="D25" s="22">
        <v>55</v>
      </c>
      <c r="E25" s="1"/>
      <c r="F25" s="1">
        <v>45</v>
      </c>
      <c r="G25" s="1">
        <v>45</v>
      </c>
      <c r="H25" s="1">
        <v>45</v>
      </c>
      <c r="I25" s="1">
        <v>45</v>
      </c>
      <c r="J25" s="1">
        <v>45</v>
      </c>
      <c r="K25" s="1"/>
      <c r="L25" s="1"/>
      <c r="M25" s="1"/>
      <c r="N25" s="1">
        <v>45</v>
      </c>
      <c r="O25" s="1"/>
      <c r="P25" s="1"/>
      <c r="Q25" s="1"/>
      <c r="R25" s="1"/>
      <c r="S25" s="1"/>
      <c r="T25" s="1"/>
      <c r="U25" s="1"/>
      <c r="V25" s="1">
        <v>45</v>
      </c>
      <c r="W25" s="23"/>
    </row>
    <row r="26" spans="1:23" x14ac:dyDescent="0.2">
      <c r="A26" s="15" t="s">
        <v>49</v>
      </c>
      <c r="B26" s="17" t="s">
        <v>50</v>
      </c>
      <c r="C26" s="22" t="s">
        <v>87</v>
      </c>
      <c r="D26" s="22" t="s">
        <v>87</v>
      </c>
      <c r="E26" s="1"/>
      <c r="F26" s="1" t="s">
        <v>87</v>
      </c>
      <c r="G26" s="1" t="s">
        <v>87</v>
      </c>
      <c r="H26" s="1" t="s">
        <v>87</v>
      </c>
      <c r="I26" s="1" t="s">
        <v>87</v>
      </c>
      <c r="J26" s="1" t="s">
        <v>87</v>
      </c>
      <c r="K26" s="1"/>
      <c r="L26" s="1"/>
      <c r="M26" s="1"/>
      <c r="N26" s="1"/>
      <c r="O26" s="1" t="s">
        <v>97</v>
      </c>
      <c r="P26" s="1"/>
      <c r="Q26" s="1" t="s">
        <v>97</v>
      </c>
      <c r="R26" s="1" t="s">
        <v>97</v>
      </c>
      <c r="S26" s="1"/>
      <c r="T26" s="1"/>
      <c r="U26" s="1"/>
      <c r="V26" s="1" t="s">
        <v>51</v>
      </c>
      <c r="W26" s="23"/>
    </row>
    <row r="27" spans="1:23" x14ac:dyDescent="0.2">
      <c r="A27" s="15" t="s">
        <v>31</v>
      </c>
      <c r="B27" s="16" t="s">
        <v>11</v>
      </c>
      <c r="C27" s="22">
        <f>30*25.4</f>
        <v>762</v>
      </c>
      <c r="D27" s="22">
        <f>30*25.4</f>
        <v>762</v>
      </c>
      <c r="E27" s="1">
        <f>18.25*25.4</f>
        <v>463.54999999999995</v>
      </c>
      <c r="F27" s="1">
        <v>737</v>
      </c>
      <c r="G27" s="1">
        <v>660.4</v>
      </c>
      <c r="H27" s="1">
        <f>29*25.4</f>
        <v>736.59999999999991</v>
      </c>
      <c r="I27" s="1">
        <f>16*25.4</f>
        <v>406.4</v>
      </c>
      <c r="J27" s="1">
        <f>9*25.4</f>
        <v>228.6</v>
      </c>
      <c r="K27" s="1">
        <v>600</v>
      </c>
      <c r="L27" s="1">
        <v>600</v>
      </c>
      <c r="M27" s="1">
        <v>600</v>
      </c>
      <c r="N27" s="1">
        <f>20*25.4</f>
        <v>508</v>
      </c>
      <c r="O27" s="1">
        <v>60</v>
      </c>
      <c r="P27" s="1"/>
      <c r="Q27" s="1">
        <v>30</v>
      </c>
      <c r="R27" s="1">
        <v>30</v>
      </c>
      <c r="S27" s="1"/>
      <c r="T27" s="1"/>
      <c r="U27" s="1"/>
      <c r="V27" s="1">
        <v>45</v>
      </c>
      <c r="W27" s="23">
        <f>25+2*4.3+16+25</f>
        <v>74.599999999999994</v>
      </c>
    </row>
    <row r="28" spans="1:23" x14ac:dyDescent="0.2">
      <c r="A28" s="15" t="s">
        <v>76</v>
      </c>
      <c r="B28" s="17" t="s">
        <v>99</v>
      </c>
      <c r="C28" s="27">
        <f>C27/C$10</f>
        <v>0.55555555555555558</v>
      </c>
      <c r="D28" s="27">
        <f>D27/D$10</f>
        <v>0.55555555555555558</v>
      </c>
      <c r="E28" s="1"/>
      <c r="F28" s="28">
        <f>F27/F10</f>
        <v>0.60509031198686369</v>
      </c>
      <c r="G28" s="28">
        <f>G27/G10</f>
        <v>0.48918518518518517</v>
      </c>
      <c r="H28" s="28">
        <f>H27/H10</f>
        <v>0.60476190476190472</v>
      </c>
      <c r="I28" s="28">
        <f>I27/I10</f>
        <v>0.49987699876998765</v>
      </c>
      <c r="J28" s="28">
        <f>J27/J10</f>
        <v>0.28125</v>
      </c>
      <c r="K28" s="28">
        <f t="shared" ref="K28:R28" si="5">K27/K10</f>
        <v>0.61728395061728392</v>
      </c>
      <c r="L28" s="28">
        <f t="shared" si="5"/>
        <v>0.61728395061728392</v>
      </c>
      <c r="M28" s="28">
        <f t="shared" si="5"/>
        <v>0.61728395061728392</v>
      </c>
      <c r="N28" s="28">
        <f t="shared" si="5"/>
        <v>0.52263374485596703</v>
      </c>
      <c r="O28" s="28">
        <f t="shared" si="5"/>
        <v>0.73170731707317072</v>
      </c>
      <c r="P28" s="28"/>
      <c r="Q28" s="28">
        <f t="shared" ref="Q28" si="6">Q27/Q10</f>
        <v>0.57692307692307687</v>
      </c>
      <c r="R28" s="28">
        <f t="shared" si="5"/>
        <v>0.57692307692307687</v>
      </c>
      <c r="S28" s="1"/>
      <c r="T28" s="1"/>
      <c r="U28" s="1"/>
      <c r="V28" s="28">
        <f>V27/V10</f>
        <v>0.30405405405405406</v>
      </c>
      <c r="W28" s="29">
        <f>W27/W10</f>
        <v>0.27028985507246372</v>
      </c>
    </row>
    <row r="29" spans="1:23" x14ac:dyDescent="0.2">
      <c r="A29" s="15" t="s">
        <v>32</v>
      </c>
      <c r="B29" s="16" t="s">
        <v>11</v>
      </c>
      <c r="C29" s="22"/>
      <c r="D29" s="22"/>
      <c r="E29" s="1"/>
      <c r="F29" s="1"/>
      <c r="G29" s="26">
        <f>9.61/68.79*660.4</f>
        <v>92.258235208605882</v>
      </c>
      <c r="H29" s="26"/>
      <c r="J29" s="26">
        <f>(1+3/4)*25.4</f>
        <v>44.449999999999996</v>
      </c>
      <c r="K29" s="26"/>
      <c r="L29" s="26"/>
      <c r="M29" s="26"/>
      <c r="N29" s="26">
        <v>143</v>
      </c>
      <c r="O29" s="1">
        <v>10</v>
      </c>
      <c r="P29" s="1"/>
      <c r="Q29" s="1">
        <v>8.8000000000000007</v>
      </c>
      <c r="R29" s="1">
        <v>8.8000000000000007</v>
      </c>
      <c r="S29" s="1"/>
      <c r="T29" s="1"/>
      <c r="U29" s="1"/>
      <c r="V29" s="1"/>
      <c r="W29" s="23"/>
    </row>
    <row r="30" spans="1:23" x14ac:dyDescent="0.2">
      <c r="A30" s="15" t="s">
        <v>18</v>
      </c>
      <c r="B30" s="16" t="s">
        <v>11</v>
      </c>
      <c r="C30" s="22">
        <f>8.62*25.4</f>
        <v>218.94799999999998</v>
      </c>
      <c r="D30" s="22">
        <f>8.62*25.4</f>
        <v>218.94799999999998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>
        <v>3.2</v>
      </c>
      <c r="W30" s="23"/>
    </row>
    <row r="31" spans="1:23" x14ac:dyDescent="0.2">
      <c r="A31" s="15" t="s">
        <v>19</v>
      </c>
      <c r="B31" s="16" t="s">
        <v>11</v>
      </c>
      <c r="C31" s="22">
        <f>10.5*25.4</f>
        <v>266.7</v>
      </c>
      <c r="D31" s="22">
        <f>10.5*25.4</f>
        <v>266.7</v>
      </c>
      <c r="E31" s="1"/>
      <c r="F31" s="1">
        <v>64</v>
      </c>
      <c r="G31" s="1">
        <v>168</v>
      </c>
      <c r="H31" s="1">
        <f>2.5*(25.4)</f>
        <v>63.5</v>
      </c>
      <c r="I31" s="1">
        <v>56.34</v>
      </c>
      <c r="J31" s="1"/>
      <c r="K31" s="1"/>
      <c r="L31" s="1"/>
      <c r="M31" s="1"/>
      <c r="N31" s="1">
        <f>210-76</f>
        <v>134</v>
      </c>
      <c r="O31" s="1">
        <v>43</v>
      </c>
      <c r="P31" s="1"/>
      <c r="Q31" s="1">
        <v>10.1</v>
      </c>
      <c r="R31" s="1">
        <v>10.1</v>
      </c>
      <c r="S31" s="1"/>
      <c r="T31" s="1"/>
      <c r="U31" s="1"/>
      <c r="V31" s="1"/>
      <c r="W31" s="23">
        <v>110.2</v>
      </c>
    </row>
    <row r="32" spans="1:23" x14ac:dyDescent="0.2">
      <c r="A32" s="15" t="s">
        <v>20</v>
      </c>
      <c r="B32" s="16" t="s">
        <v>11</v>
      </c>
      <c r="C32" s="22">
        <f>(C16-C31)*-1</f>
        <v>-76.199999999999989</v>
      </c>
      <c r="D32" s="22">
        <f>(D16-D31)*-1</f>
        <v>-76.199999999999989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23"/>
    </row>
    <row r="33" spans="1:23" x14ac:dyDescent="0.2">
      <c r="A33" s="15" t="s">
        <v>166</v>
      </c>
      <c r="B33" s="17" t="s">
        <v>50</v>
      </c>
      <c r="C33" s="22"/>
      <c r="D33" s="2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23"/>
    </row>
    <row r="34" spans="1:23" x14ac:dyDescent="0.2">
      <c r="A34" s="15" t="s">
        <v>62</v>
      </c>
      <c r="B34" s="17" t="s">
        <v>50</v>
      </c>
      <c r="C34" s="22" t="s">
        <v>82</v>
      </c>
      <c r="D34" s="22" t="s">
        <v>82</v>
      </c>
      <c r="E34" s="1"/>
      <c r="F34" s="1" t="s">
        <v>59</v>
      </c>
      <c r="G34" s="1" t="s">
        <v>58</v>
      </c>
      <c r="H34" s="34"/>
      <c r="I34" s="1" t="s">
        <v>59</v>
      </c>
      <c r="J34" s="1" t="s">
        <v>59</v>
      </c>
      <c r="K34" s="1" t="s">
        <v>59</v>
      </c>
      <c r="L34" s="1" t="s">
        <v>59</v>
      </c>
      <c r="M34" s="1" t="s">
        <v>59</v>
      </c>
      <c r="N34" s="1" t="s">
        <v>134</v>
      </c>
      <c r="O34" s="34"/>
      <c r="P34" s="34"/>
      <c r="Q34" s="34"/>
      <c r="R34" s="34"/>
      <c r="S34" s="1"/>
      <c r="T34" s="1"/>
      <c r="U34" s="1"/>
      <c r="V34" s="34"/>
      <c r="W34" s="35"/>
    </row>
    <row r="35" spans="1:23" x14ac:dyDescent="0.2">
      <c r="A35" s="15" t="s">
        <v>80</v>
      </c>
      <c r="B35" s="17" t="s">
        <v>50</v>
      </c>
      <c r="C35" s="22" t="s">
        <v>81</v>
      </c>
      <c r="D35" s="22" t="s">
        <v>81</v>
      </c>
      <c r="E35" s="1"/>
      <c r="F35" s="1" t="s">
        <v>178</v>
      </c>
      <c r="G35" s="1" t="s">
        <v>79</v>
      </c>
      <c r="H35" s="34"/>
      <c r="I35" s="1" t="s">
        <v>183</v>
      </c>
      <c r="J35" s="1" t="s">
        <v>179</v>
      </c>
      <c r="K35" s="1"/>
      <c r="L35" s="1"/>
      <c r="M35" s="1"/>
      <c r="N35" s="1"/>
      <c r="O35" s="34"/>
      <c r="P35" s="34"/>
      <c r="Q35" s="34"/>
      <c r="R35" s="34"/>
      <c r="S35" s="1"/>
      <c r="T35" s="1"/>
      <c r="U35" s="1"/>
      <c r="V35" s="34"/>
      <c r="W35" s="35"/>
    </row>
    <row r="36" spans="1:23" x14ac:dyDescent="0.2">
      <c r="A36" s="15" t="s">
        <v>94</v>
      </c>
      <c r="B36" s="17" t="s">
        <v>26</v>
      </c>
      <c r="C36" s="22">
        <v>4</v>
      </c>
      <c r="D36" s="22">
        <v>4</v>
      </c>
      <c r="E36" s="1"/>
      <c r="F36" s="1">
        <v>3</v>
      </c>
      <c r="G36" s="1">
        <v>4</v>
      </c>
      <c r="H36" s="34"/>
      <c r="I36" s="1">
        <v>3</v>
      </c>
      <c r="J36" s="1">
        <v>3</v>
      </c>
      <c r="K36" s="1">
        <v>3</v>
      </c>
      <c r="L36" s="1">
        <v>3</v>
      </c>
      <c r="M36" s="1">
        <v>3</v>
      </c>
      <c r="N36" s="1">
        <v>2</v>
      </c>
      <c r="O36" s="34"/>
      <c r="P36" s="34"/>
      <c r="Q36" s="34"/>
      <c r="R36" s="34"/>
      <c r="S36" s="1"/>
      <c r="T36" s="1"/>
      <c r="U36" s="1"/>
      <c r="V36" s="34"/>
      <c r="W36" s="35"/>
    </row>
    <row r="37" spans="1:23" x14ac:dyDescent="0.2">
      <c r="A37" s="15" t="s">
        <v>77</v>
      </c>
      <c r="B37" s="18" t="s">
        <v>52</v>
      </c>
      <c r="C37" s="22">
        <v>55</v>
      </c>
      <c r="D37" s="22">
        <v>55</v>
      </c>
      <c r="E37" s="1"/>
      <c r="F37" s="1">
        <v>45</v>
      </c>
      <c r="G37" s="1">
        <v>45</v>
      </c>
      <c r="H37" s="34"/>
      <c r="I37" s="1">
        <v>45</v>
      </c>
      <c r="J37" s="1"/>
      <c r="K37" s="1">
        <v>45</v>
      </c>
      <c r="L37" s="1">
        <v>45</v>
      </c>
      <c r="M37" s="1">
        <v>45</v>
      </c>
      <c r="N37" s="1">
        <v>45</v>
      </c>
      <c r="O37" s="34"/>
      <c r="P37" s="34"/>
      <c r="Q37" s="34"/>
      <c r="R37" s="34"/>
      <c r="S37" s="1"/>
      <c r="T37" s="1"/>
      <c r="U37" s="1"/>
      <c r="V37" s="34"/>
      <c r="W37" s="35"/>
    </row>
    <row r="38" spans="1:23" x14ac:dyDescent="0.2">
      <c r="A38" s="15" t="s">
        <v>128</v>
      </c>
      <c r="B38" s="17" t="s">
        <v>50</v>
      </c>
      <c r="C38" s="22" t="s">
        <v>87</v>
      </c>
      <c r="D38" s="22" t="s">
        <v>87</v>
      </c>
      <c r="E38" s="1"/>
      <c r="F38" s="1" t="s">
        <v>87</v>
      </c>
      <c r="G38" s="1"/>
      <c r="H38" s="34"/>
      <c r="I38" s="1" t="s">
        <v>87</v>
      </c>
      <c r="J38" s="1" t="s">
        <v>87</v>
      </c>
      <c r="K38" s="1" t="s">
        <v>87</v>
      </c>
      <c r="L38" s="1"/>
      <c r="M38" s="1"/>
      <c r="N38" s="1"/>
      <c r="O38" s="34"/>
      <c r="P38" s="34"/>
      <c r="Q38" s="34"/>
      <c r="R38" s="34"/>
      <c r="S38" s="1"/>
      <c r="T38" s="1"/>
      <c r="U38" s="1"/>
      <c r="V38" s="34"/>
      <c r="W38" s="35"/>
    </row>
    <row r="39" spans="1:23" x14ac:dyDescent="0.2">
      <c r="A39" s="15" t="s">
        <v>63</v>
      </c>
      <c r="B39" s="16" t="s">
        <v>11</v>
      </c>
      <c r="C39" s="22">
        <f>30*25.4</f>
        <v>762</v>
      </c>
      <c r="D39" s="22">
        <f>30*25.4</f>
        <v>762</v>
      </c>
      <c r="E39" s="1"/>
      <c r="F39" s="1">
        <v>660</v>
      </c>
      <c r="G39" s="1">
        <v>660.4</v>
      </c>
      <c r="H39" s="34"/>
      <c r="I39" s="1">
        <f>14*25.4</f>
        <v>355.59999999999997</v>
      </c>
      <c r="J39" s="1">
        <f>(14+5/8)*25.4</f>
        <v>371.47499999999997</v>
      </c>
      <c r="K39" s="1">
        <v>610</v>
      </c>
      <c r="L39" s="1">
        <v>610</v>
      </c>
      <c r="M39" s="1">
        <v>610</v>
      </c>
      <c r="N39" s="24">
        <f>24*25.4</f>
        <v>609.59999999999991</v>
      </c>
      <c r="O39" s="34"/>
      <c r="P39" s="34"/>
      <c r="Q39" s="34"/>
      <c r="R39" s="34"/>
      <c r="S39" s="1"/>
      <c r="T39" s="1"/>
      <c r="U39" s="1"/>
      <c r="V39" s="34"/>
      <c r="W39" s="35"/>
    </row>
    <row r="40" spans="1:23" x14ac:dyDescent="0.2">
      <c r="A40" s="15" t="s">
        <v>88</v>
      </c>
      <c r="B40" s="17" t="s">
        <v>50</v>
      </c>
      <c r="C40" s="27">
        <f>C39/C$10</f>
        <v>0.55555555555555558</v>
      </c>
      <c r="D40" s="27">
        <f>D39/D$10</f>
        <v>0.55555555555555558</v>
      </c>
      <c r="E40" s="1"/>
      <c r="F40" s="27">
        <f>F39/F$10</f>
        <v>0.54187192118226601</v>
      </c>
      <c r="G40" s="27">
        <f>G39/G$10</f>
        <v>0.48918518518518517</v>
      </c>
      <c r="H40" s="48"/>
      <c r="I40" s="27">
        <f>I39/I$10</f>
        <v>0.4373923739237392</v>
      </c>
      <c r="J40" s="27">
        <f>J39/J$10</f>
        <v>0.45703125</v>
      </c>
      <c r="K40" s="27">
        <f>K39/K$10</f>
        <v>0.62757201646090532</v>
      </c>
      <c r="L40" s="27">
        <f>L39/L$10</f>
        <v>0.62757201646090532</v>
      </c>
      <c r="M40" s="27">
        <f>M39/M$10</f>
        <v>0.62757201646090532</v>
      </c>
      <c r="N40" s="27">
        <f>N39/N$10</f>
        <v>0.62716049382716044</v>
      </c>
      <c r="O40" s="34"/>
      <c r="P40" s="34"/>
      <c r="Q40" s="34"/>
      <c r="R40" s="34"/>
      <c r="S40" s="1"/>
      <c r="T40" s="1"/>
      <c r="U40" s="1"/>
      <c r="V40" s="34"/>
      <c r="W40" s="35"/>
    </row>
    <row r="41" spans="1:23" x14ac:dyDescent="0.2">
      <c r="A41" s="15" t="s">
        <v>89</v>
      </c>
      <c r="B41" s="16" t="s">
        <v>11</v>
      </c>
      <c r="C41" s="22"/>
      <c r="D41" s="22"/>
      <c r="E41" s="1"/>
      <c r="F41" s="1"/>
      <c r="G41" s="26">
        <f>G29</f>
        <v>92.258235208605882</v>
      </c>
      <c r="H41" s="49"/>
      <c r="I41" s="26"/>
      <c r="J41" s="26">
        <f>(2.5)*25.4</f>
        <v>63.5</v>
      </c>
      <c r="K41" s="26"/>
      <c r="L41" s="26"/>
      <c r="M41" s="26"/>
      <c r="N41" s="24">
        <v>78</v>
      </c>
      <c r="O41" s="34"/>
      <c r="P41" s="34"/>
      <c r="Q41" s="34"/>
      <c r="R41" s="34"/>
      <c r="S41" s="1"/>
      <c r="T41" s="1"/>
      <c r="U41" s="1"/>
      <c r="V41" s="34"/>
      <c r="W41" s="35"/>
    </row>
    <row r="42" spans="1:23" x14ac:dyDescent="0.2">
      <c r="A42" s="15" t="s">
        <v>158</v>
      </c>
      <c r="B42" s="16" t="s">
        <v>11</v>
      </c>
      <c r="C42" s="22"/>
      <c r="D42" s="22"/>
      <c r="E42" s="1"/>
      <c r="F42" s="1"/>
      <c r="G42" s="1"/>
      <c r="H42" s="34"/>
      <c r="I42" s="1"/>
      <c r="J42" s="1"/>
      <c r="K42" s="1"/>
      <c r="L42" s="1"/>
      <c r="M42" s="1"/>
      <c r="N42" s="24"/>
      <c r="O42" s="34"/>
      <c r="P42" s="34"/>
      <c r="Q42" s="34"/>
      <c r="R42" s="34"/>
      <c r="S42" s="1"/>
      <c r="T42" s="1"/>
      <c r="U42" s="1"/>
      <c r="V42" s="34"/>
      <c r="W42" s="35"/>
    </row>
    <row r="43" spans="1:23" x14ac:dyDescent="0.2">
      <c r="A43" s="15" t="s">
        <v>21</v>
      </c>
      <c r="B43" s="16" t="s">
        <v>11</v>
      </c>
      <c r="C43" s="22">
        <f>45*25.4+C31</f>
        <v>1409.7</v>
      </c>
      <c r="D43" s="22"/>
      <c r="E43" s="1"/>
      <c r="F43" s="1">
        <v>895</v>
      </c>
      <c r="G43" s="24">
        <f>G31+901.7</f>
        <v>1069.7</v>
      </c>
      <c r="H43" s="47"/>
      <c r="I43" s="24">
        <f>406+I31</f>
        <v>462.34000000000003</v>
      </c>
      <c r="J43" s="24"/>
      <c r="K43" s="24"/>
      <c r="L43" s="24"/>
      <c r="M43" s="24"/>
      <c r="N43" s="24">
        <f>N31+711</f>
        <v>845</v>
      </c>
      <c r="O43" s="34"/>
      <c r="P43" s="34"/>
      <c r="Q43" s="34"/>
      <c r="R43" s="34"/>
      <c r="S43" s="1"/>
      <c r="T43" s="1"/>
      <c r="U43" s="1"/>
      <c r="V43" s="34"/>
      <c r="W43" s="35"/>
    </row>
    <row r="44" spans="1:23" x14ac:dyDescent="0.2">
      <c r="A44" s="15" t="s">
        <v>159</v>
      </c>
      <c r="B44" s="16" t="s">
        <v>11</v>
      </c>
      <c r="C44" s="22"/>
      <c r="D44" s="22"/>
      <c r="E44" s="1"/>
      <c r="F44" s="1"/>
      <c r="G44" s="26"/>
      <c r="H44" s="49"/>
      <c r="I44" s="26"/>
      <c r="J44" s="26"/>
      <c r="K44" s="26"/>
      <c r="L44" s="26"/>
      <c r="M44" s="26"/>
      <c r="N44" s="24">
        <v>0</v>
      </c>
      <c r="O44" s="34"/>
      <c r="P44" s="34"/>
      <c r="Q44" s="34"/>
      <c r="R44" s="34"/>
      <c r="S44" s="1"/>
      <c r="T44" s="1"/>
      <c r="U44" s="1"/>
      <c r="V44" s="34"/>
      <c r="W44" s="35"/>
    </row>
    <row r="45" spans="1:23" x14ac:dyDescent="0.2">
      <c r="A45" s="15" t="s">
        <v>167</v>
      </c>
      <c r="B45" s="17" t="s">
        <v>50</v>
      </c>
      <c r="C45" s="22"/>
      <c r="D45" s="22"/>
      <c r="E45" s="1"/>
      <c r="F45" s="1"/>
      <c r="G45" s="26"/>
      <c r="H45" s="49"/>
      <c r="I45" s="26"/>
      <c r="J45" s="26"/>
      <c r="K45" s="26"/>
      <c r="L45" s="26"/>
      <c r="M45" s="26"/>
      <c r="N45" s="24"/>
      <c r="O45" s="34"/>
      <c r="P45" s="34"/>
      <c r="Q45" s="34"/>
      <c r="R45" s="34"/>
      <c r="S45" s="1"/>
      <c r="T45" s="1"/>
      <c r="U45" s="1"/>
      <c r="V45" s="34"/>
      <c r="W45" s="35"/>
    </row>
    <row r="46" spans="1:23" x14ac:dyDescent="0.2">
      <c r="A46" s="15" t="s">
        <v>64</v>
      </c>
      <c r="B46" s="17" t="s">
        <v>50</v>
      </c>
      <c r="C46" s="22" t="s">
        <v>82</v>
      </c>
      <c r="D46" s="22" t="s">
        <v>82</v>
      </c>
      <c r="E46" s="1"/>
      <c r="F46" s="34"/>
      <c r="G46" s="34"/>
      <c r="H46" s="34"/>
      <c r="I46" s="34"/>
      <c r="J46" s="1" t="s">
        <v>59</v>
      </c>
      <c r="K46" s="52"/>
      <c r="L46" s="34"/>
      <c r="M46" s="34"/>
      <c r="N46" s="52"/>
      <c r="O46" s="34"/>
      <c r="P46" s="34"/>
      <c r="Q46" s="34"/>
      <c r="R46" s="34"/>
      <c r="S46" s="1"/>
      <c r="T46" s="1"/>
      <c r="U46" s="1"/>
      <c r="V46" s="34"/>
      <c r="W46" s="35"/>
    </row>
    <row r="47" spans="1:23" x14ac:dyDescent="0.2">
      <c r="A47" s="15" t="s">
        <v>83</v>
      </c>
      <c r="B47" s="17" t="s">
        <v>50</v>
      </c>
      <c r="C47" s="22" t="s">
        <v>81</v>
      </c>
      <c r="D47" s="22" t="s">
        <v>81</v>
      </c>
      <c r="E47" s="1"/>
      <c r="F47" s="34"/>
      <c r="G47" s="34"/>
      <c r="H47" s="34"/>
      <c r="I47" s="34"/>
      <c r="J47" s="1" t="s">
        <v>179</v>
      </c>
      <c r="K47" s="52"/>
      <c r="L47" s="34"/>
      <c r="M47" s="34"/>
      <c r="N47" s="52"/>
      <c r="O47" s="34"/>
      <c r="P47" s="34"/>
      <c r="Q47" s="34"/>
      <c r="R47" s="34"/>
      <c r="S47" s="1"/>
      <c r="T47" s="1"/>
      <c r="U47" s="1"/>
      <c r="V47" s="34"/>
      <c r="W47" s="35"/>
    </row>
    <row r="48" spans="1:23" x14ac:dyDescent="0.2">
      <c r="A48" s="15" t="s">
        <v>95</v>
      </c>
      <c r="B48" s="17" t="s">
        <v>26</v>
      </c>
      <c r="C48" s="22">
        <v>4</v>
      </c>
      <c r="D48" s="22">
        <v>4</v>
      </c>
      <c r="E48" s="1"/>
      <c r="F48" s="34"/>
      <c r="G48" s="34"/>
      <c r="H48" s="34"/>
      <c r="I48" s="34"/>
      <c r="J48" s="1">
        <v>3</v>
      </c>
      <c r="K48" s="52"/>
      <c r="L48" s="34"/>
      <c r="M48" s="34"/>
      <c r="N48" s="52"/>
      <c r="O48" s="34"/>
      <c r="P48" s="34"/>
      <c r="Q48" s="34"/>
      <c r="R48" s="34"/>
      <c r="S48" s="1"/>
      <c r="T48" s="1"/>
      <c r="U48" s="1"/>
      <c r="V48" s="34"/>
      <c r="W48" s="35"/>
    </row>
    <row r="49" spans="1:23" x14ac:dyDescent="0.2">
      <c r="A49" s="15" t="s">
        <v>96</v>
      </c>
      <c r="B49" s="18" t="s">
        <v>52</v>
      </c>
      <c r="C49" s="22">
        <v>55</v>
      </c>
      <c r="D49" s="22">
        <v>55</v>
      </c>
      <c r="E49" s="1"/>
      <c r="F49" s="34"/>
      <c r="G49" s="34"/>
      <c r="H49" s="34"/>
      <c r="I49" s="34"/>
      <c r="J49" s="1"/>
      <c r="K49" s="52"/>
      <c r="L49" s="34"/>
      <c r="M49" s="34"/>
      <c r="N49" s="52"/>
      <c r="O49" s="34"/>
      <c r="P49" s="34"/>
      <c r="Q49" s="34"/>
      <c r="R49" s="34"/>
      <c r="S49" s="1"/>
      <c r="T49" s="1"/>
      <c r="U49" s="1"/>
      <c r="V49" s="34"/>
      <c r="W49" s="35"/>
    </row>
    <row r="50" spans="1:23" x14ac:dyDescent="0.2">
      <c r="A50" s="15" t="s">
        <v>128</v>
      </c>
      <c r="B50" s="50" t="s">
        <v>50</v>
      </c>
      <c r="C50" s="22" t="s">
        <v>87</v>
      </c>
      <c r="D50" s="22" t="s">
        <v>87</v>
      </c>
      <c r="E50" s="1"/>
      <c r="F50" s="34"/>
      <c r="G50" s="34"/>
      <c r="H50" s="34"/>
      <c r="I50" s="34"/>
      <c r="J50" s="1" t="s">
        <v>87</v>
      </c>
      <c r="K50" s="52"/>
      <c r="L50" s="34"/>
      <c r="M50" s="34"/>
      <c r="N50" s="52"/>
      <c r="O50" s="34"/>
      <c r="P50" s="34"/>
      <c r="Q50" s="34"/>
      <c r="R50" s="34"/>
      <c r="S50" s="1"/>
      <c r="T50" s="1"/>
      <c r="U50" s="1"/>
      <c r="V50" s="34"/>
      <c r="W50" s="35"/>
    </row>
    <row r="51" spans="1:23" x14ac:dyDescent="0.2">
      <c r="A51" s="15" t="s">
        <v>65</v>
      </c>
      <c r="B51" s="16" t="s">
        <v>11</v>
      </c>
      <c r="C51" s="22">
        <f>30*25.4</f>
        <v>762</v>
      </c>
      <c r="D51" s="22">
        <f>30*25.4</f>
        <v>762</v>
      </c>
      <c r="E51" s="1"/>
      <c r="F51" s="34"/>
      <c r="G51" s="34"/>
      <c r="H51" s="34"/>
      <c r="I51" s="34"/>
      <c r="J51" s="1">
        <f>(14+5/8)*25.4</f>
        <v>371.47499999999997</v>
      </c>
      <c r="K51" s="52"/>
      <c r="L51" s="34"/>
      <c r="M51" s="34"/>
      <c r="N51" s="52"/>
      <c r="O51" s="34"/>
      <c r="P51" s="34"/>
      <c r="Q51" s="34"/>
      <c r="R51" s="34"/>
      <c r="S51" s="1"/>
      <c r="T51" s="1"/>
      <c r="U51" s="1"/>
      <c r="V51" s="34"/>
      <c r="W51" s="35"/>
    </row>
    <row r="52" spans="1:23" x14ac:dyDescent="0.2">
      <c r="A52" s="15" t="s">
        <v>160</v>
      </c>
      <c r="B52" s="17" t="s">
        <v>50</v>
      </c>
      <c r="C52" s="22"/>
      <c r="D52" s="22"/>
      <c r="E52" s="1"/>
      <c r="F52" s="34"/>
      <c r="G52" s="34"/>
      <c r="H52" s="34"/>
      <c r="I52" s="34"/>
      <c r="J52" s="27">
        <f>J51/J$10</f>
        <v>0.45703125</v>
      </c>
      <c r="K52" s="52"/>
      <c r="L52" s="34"/>
      <c r="M52" s="34"/>
      <c r="N52" s="52"/>
      <c r="O52" s="34"/>
      <c r="P52" s="34"/>
      <c r="Q52" s="34"/>
      <c r="R52" s="34"/>
      <c r="S52" s="1"/>
      <c r="T52" s="1"/>
      <c r="U52" s="1"/>
      <c r="V52" s="34"/>
      <c r="W52" s="35"/>
    </row>
    <row r="53" spans="1:23" x14ac:dyDescent="0.2">
      <c r="A53" s="15" t="s">
        <v>161</v>
      </c>
      <c r="B53" s="16" t="s">
        <v>11</v>
      </c>
      <c r="C53" s="22"/>
      <c r="D53" s="22"/>
      <c r="E53" s="1"/>
      <c r="F53" s="34"/>
      <c r="G53" s="34"/>
      <c r="H53" s="34"/>
      <c r="I53" s="34"/>
      <c r="J53" s="26">
        <f>(2.5)*25.4</f>
        <v>63.5</v>
      </c>
      <c r="K53" s="52"/>
      <c r="L53" s="34"/>
      <c r="M53" s="34"/>
      <c r="N53" s="34"/>
      <c r="O53" s="34"/>
      <c r="P53" s="34"/>
      <c r="Q53" s="34"/>
      <c r="R53" s="34"/>
      <c r="S53" s="1"/>
      <c r="T53" s="1"/>
      <c r="U53" s="1"/>
      <c r="V53" s="34"/>
      <c r="W53" s="35"/>
    </row>
    <row r="54" spans="1:23" x14ac:dyDescent="0.2">
      <c r="A54" s="15" t="s">
        <v>162</v>
      </c>
      <c r="B54" s="16" t="s">
        <v>11</v>
      </c>
      <c r="C54" s="22"/>
      <c r="D54" s="22"/>
      <c r="E54" s="1"/>
      <c r="F54" s="34"/>
      <c r="G54" s="34"/>
      <c r="H54" s="34"/>
      <c r="I54" s="34"/>
      <c r="J54" s="1"/>
      <c r="K54" s="52"/>
      <c r="L54" s="34"/>
      <c r="M54" s="34"/>
      <c r="N54" s="34"/>
      <c r="O54" s="34"/>
      <c r="P54" s="34"/>
      <c r="Q54" s="34"/>
      <c r="R54" s="34"/>
      <c r="S54" s="1"/>
      <c r="T54" s="1"/>
      <c r="U54" s="1"/>
      <c r="V54" s="34"/>
      <c r="W54" s="35"/>
    </row>
    <row r="55" spans="1:23" x14ac:dyDescent="0.2">
      <c r="A55" s="15" t="s">
        <v>22</v>
      </c>
      <c r="B55" s="16" t="s">
        <v>11</v>
      </c>
      <c r="C55" s="22">
        <f>C43+45*25.4</f>
        <v>2552.6999999999998</v>
      </c>
      <c r="D55" s="22"/>
      <c r="E55" s="1"/>
      <c r="F55" s="34"/>
      <c r="G55" s="34"/>
      <c r="H55" s="34"/>
      <c r="I55" s="34"/>
      <c r="J55" s="1"/>
      <c r="K55" s="52"/>
      <c r="L55" s="34"/>
      <c r="M55" s="34"/>
      <c r="N55" s="34"/>
      <c r="O55" s="34"/>
      <c r="P55" s="34"/>
      <c r="Q55" s="34"/>
      <c r="R55" s="34"/>
      <c r="S55" s="1"/>
      <c r="T55" s="1"/>
      <c r="U55" s="1"/>
      <c r="V55" s="34"/>
      <c r="W55" s="35"/>
    </row>
    <row r="56" spans="1:23" x14ac:dyDescent="0.2">
      <c r="A56" s="15" t="s">
        <v>163</v>
      </c>
      <c r="B56" s="16" t="s">
        <v>11</v>
      </c>
      <c r="C56" s="22"/>
      <c r="D56" s="22"/>
      <c r="E56" s="1"/>
      <c r="F56" s="34"/>
      <c r="G56" s="34"/>
      <c r="H56" s="34"/>
      <c r="I56" s="34"/>
      <c r="J56" s="1"/>
      <c r="K56" s="52"/>
      <c r="L56" s="34"/>
      <c r="M56" s="34"/>
      <c r="N56" s="34"/>
      <c r="O56" s="34"/>
      <c r="P56" s="34"/>
      <c r="Q56" s="34"/>
      <c r="R56" s="34"/>
      <c r="S56" s="1"/>
      <c r="T56" s="1"/>
      <c r="U56" s="1"/>
      <c r="V56" s="34"/>
      <c r="W56" s="35"/>
    </row>
    <row r="57" spans="1:23" x14ac:dyDescent="0.2">
      <c r="A57" s="15" t="s">
        <v>168</v>
      </c>
      <c r="B57" s="17" t="s">
        <v>50</v>
      </c>
      <c r="C57" s="22"/>
      <c r="D57" s="22"/>
      <c r="E57" s="1"/>
      <c r="F57" s="34"/>
      <c r="G57" s="34"/>
      <c r="H57" s="34"/>
      <c r="I57" s="34"/>
      <c r="J57" s="1"/>
      <c r="K57" s="52"/>
      <c r="L57" s="34"/>
      <c r="M57" s="34"/>
      <c r="N57" s="34"/>
      <c r="O57" s="34"/>
      <c r="P57" s="34"/>
      <c r="Q57" s="34"/>
      <c r="R57" s="34"/>
      <c r="S57" s="1"/>
      <c r="T57" s="1"/>
      <c r="U57" s="1"/>
      <c r="V57" s="34"/>
      <c r="W57" s="35"/>
    </row>
    <row r="58" spans="1:23" x14ac:dyDescent="0.2">
      <c r="A58" s="15" t="s">
        <v>23</v>
      </c>
      <c r="B58" s="16" t="s">
        <v>11</v>
      </c>
      <c r="C58" s="22">
        <f>25.4+0.25*25.4</f>
        <v>31.75</v>
      </c>
      <c r="D58" s="22">
        <f>25.4+0.25*25.4</f>
        <v>31.75</v>
      </c>
      <c r="E58" s="1"/>
      <c r="F58" s="1">
        <f>5/8*25.4</f>
        <v>15.875</v>
      </c>
      <c r="G58" s="1"/>
      <c r="H58" s="1">
        <v>16</v>
      </c>
      <c r="I58" s="1"/>
      <c r="J58" s="1"/>
      <c r="K58" s="1">
        <v>14</v>
      </c>
      <c r="L58" s="1">
        <v>14</v>
      </c>
      <c r="M58" s="1">
        <v>14</v>
      </c>
      <c r="N58" s="1">
        <v>14</v>
      </c>
      <c r="O58" s="1"/>
      <c r="P58" s="1"/>
      <c r="Q58" s="1"/>
      <c r="R58" s="1"/>
      <c r="S58" s="1"/>
      <c r="T58" s="1"/>
      <c r="U58" s="1"/>
      <c r="V58" s="1"/>
      <c r="W58" s="23"/>
    </row>
    <row r="59" spans="1:23" x14ac:dyDescent="0.2">
      <c r="A59" s="15" t="s">
        <v>6</v>
      </c>
      <c r="B59" s="17" t="s">
        <v>50</v>
      </c>
      <c r="C59" s="22" t="s">
        <v>7</v>
      </c>
      <c r="D59" s="22" t="s">
        <v>7</v>
      </c>
      <c r="E59" s="1"/>
      <c r="F59" s="1" t="s">
        <v>143</v>
      </c>
      <c r="G59" s="1"/>
      <c r="H59" s="1" t="s">
        <v>143</v>
      </c>
      <c r="J59" s="1" t="s">
        <v>180</v>
      </c>
      <c r="K59" s="1"/>
      <c r="L59" s="1"/>
      <c r="M59" s="1"/>
      <c r="N59" s="1"/>
      <c r="O59" s="1" t="s">
        <v>171</v>
      </c>
      <c r="P59" s="1"/>
      <c r="Q59" s="1" t="s">
        <v>173</v>
      </c>
      <c r="R59" s="1"/>
      <c r="S59" s="1"/>
      <c r="T59" s="1"/>
      <c r="U59" s="1"/>
      <c r="V59" s="1" t="s">
        <v>173</v>
      </c>
      <c r="W59" s="23" t="s">
        <v>173</v>
      </c>
    </row>
    <row r="60" spans="1:23" x14ac:dyDescent="0.2">
      <c r="A60" s="15" t="s">
        <v>100</v>
      </c>
      <c r="B60" s="17" t="s">
        <v>50</v>
      </c>
      <c r="C60" s="22" t="s">
        <v>101</v>
      </c>
      <c r="D60" s="22" t="s">
        <v>101</v>
      </c>
      <c r="E60" s="1" t="s">
        <v>133</v>
      </c>
      <c r="F60" s="1" t="s">
        <v>102</v>
      </c>
      <c r="G60" s="1" t="s">
        <v>102</v>
      </c>
      <c r="H60" s="1" t="s">
        <v>102</v>
      </c>
      <c r="I60" s="1" t="s">
        <v>102</v>
      </c>
      <c r="J60" s="1"/>
      <c r="K60" s="1" t="s">
        <v>102</v>
      </c>
      <c r="L60" s="1" t="s">
        <v>102</v>
      </c>
      <c r="M60" s="1" t="s">
        <v>102</v>
      </c>
      <c r="N60" s="1" t="s">
        <v>102</v>
      </c>
      <c r="O60" s="1"/>
      <c r="P60" s="1"/>
      <c r="Q60" s="1"/>
      <c r="R60" s="1"/>
      <c r="S60" s="1"/>
      <c r="T60" s="1"/>
      <c r="U60" s="1"/>
      <c r="V60" s="1"/>
      <c r="W60" s="23"/>
    </row>
    <row r="61" spans="1:23" s="42" customFormat="1" ht="32" x14ac:dyDescent="0.2">
      <c r="A61" s="37" t="s">
        <v>118</v>
      </c>
      <c r="B61" s="38" t="s">
        <v>50</v>
      </c>
      <c r="C61" s="39" t="s">
        <v>119</v>
      </c>
      <c r="D61" s="39" t="s">
        <v>165</v>
      </c>
      <c r="E61" s="40" t="s">
        <v>120</v>
      </c>
      <c r="F61" s="40" t="s">
        <v>120</v>
      </c>
      <c r="G61" s="40"/>
      <c r="H61" s="40" t="s">
        <v>120</v>
      </c>
      <c r="I61" s="40"/>
      <c r="J61" s="40" t="s">
        <v>120</v>
      </c>
      <c r="K61" s="40" t="s">
        <v>120</v>
      </c>
      <c r="L61" s="40" t="s">
        <v>120</v>
      </c>
      <c r="M61" s="40" t="s">
        <v>120</v>
      </c>
      <c r="N61" s="40" t="s">
        <v>120</v>
      </c>
      <c r="O61" s="40" t="s">
        <v>120</v>
      </c>
      <c r="P61" s="40"/>
      <c r="Q61" s="40"/>
      <c r="R61" s="40"/>
      <c r="S61" s="40"/>
      <c r="T61" s="40"/>
      <c r="U61" s="40"/>
      <c r="V61" s="40"/>
      <c r="W61" s="41"/>
    </row>
    <row r="62" spans="1:23" s="42" customFormat="1" ht="16" x14ac:dyDescent="0.2">
      <c r="A62" s="37" t="s">
        <v>146</v>
      </c>
      <c r="B62" s="38" t="s">
        <v>50</v>
      </c>
      <c r="C62" s="39"/>
      <c r="D62" s="39"/>
      <c r="E62" s="40"/>
      <c r="F62" s="40" t="s">
        <v>147</v>
      </c>
      <c r="G62" s="40"/>
      <c r="H62" s="40" t="s">
        <v>147</v>
      </c>
      <c r="I62" s="40"/>
      <c r="J62" s="40" t="s">
        <v>147</v>
      </c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1"/>
    </row>
    <row r="63" spans="1:23" s="42" customFormat="1" ht="16" x14ac:dyDescent="0.2">
      <c r="A63" s="37" t="s">
        <v>144</v>
      </c>
      <c r="B63" s="38" t="s">
        <v>11</v>
      </c>
      <c r="C63" s="39"/>
      <c r="D63" s="39"/>
      <c r="E63" s="40"/>
      <c r="F63" s="40">
        <f>1350-16*2</f>
        <v>1318</v>
      </c>
      <c r="G63" s="40"/>
      <c r="H63" s="40"/>
      <c r="I63" s="40"/>
      <c r="J63" s="40"/>
      <c r="K63" s="40"/>
      <c r="L63" s="40"/>
      <c r="M63" s="40"/>
      <c r="N63" s="40">
        <f>1100-2*8</f>
        <v>1084</v>
      </c>
      <c r="O63" s="40"/>
      <c r="P63" s="40"/>
      <c r="Q63" s="40"/>
      <c r="R63" s="40"/>
      <c r="S63" s="40"/>
      <c r="T63" s="40"/>
      <c r="U63" s="40"/>
      <c r="V63" s="40"/>
      <c r="W63" s="41"/>
    </row>
    <row r="64" spans="1:23" s="42" customFormat="1" ht="16" x14ac:dyDescent="0.2">
      <c r="A64" s="37" t="s">
        <v>145</v>
      </c>
      <c r="B64" s="38" t="s">
        <v>15</v>
      </c>
      <c r="C64" s="39"/>
      <c r="D64" s="39"/>
      <c r="E64" s="40"/>
      <c r="F64" s="40">
        <v>378.5</v>
      </c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1"/>
    </row>
    <row r="65" spans="1:23" s="42" customFormat="1" ht="16" x14ac:dyDescent="0.2">
      <c r="A65" s="37" t="s">
        <v>140</v>
      </c>
      <c r="B65" s="38" t="s">
        <v>11</v>
      </c>
      <c r="C65" s="39"/>
      <c r="D65" s="39"/>
      <c r="E65" s="40"/>
      <c r="F65" s="40">
        <v>1867</v>
      </c>
      <c r="G65" s="40"/>
      <c r="H65" s="40"/>
      <c r="I65" s="40"/>
      <c r="J65" s="40"/>
      <c r="K65" s="40"/>
      <c r="L65" s="40"/>
      <c r="M65" s="40"/>
      <c r="N65" s="40">
        <f>210+897</f>
        <v>1107</v>
      </c>
      <c r="O65" s="40"/>
      <c r="P65" s="40"/>
      <c r="Q65" s="40"/>
      <c r="R65" s="40"/>
      <c r="S65" s="40"/>
      <c r="T65" s="40"/>
      <c r="U65" s="40"/>
      <c r="V65" s="40"/>
      <c r="W65" s="41"/>
    </row>
    <row r="66" spans="1:23" s="42" customFormat="1" ht="16" x14ac:dyDescent="0.2">
      <c r="A66" s="37" t="s">
        <v>141</v>
      </c>
      <c r="B66" s="38" t="s">
        <v>11</v>
      </c>
      <c r="C66" s="39"/>
      <c r="D66" s="39"/>
      <c r="E66" s="40"/>
      <c r="F66" s="40">
        <v>257</v>
      </c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1"/>
    </row>
    <row r="67" spans="1:23" s="42" customFormat="1" ht="16" x14ac:dyDescent="0.2">
      <c r="A67" s="37" t="s">
        <v>142</v>
      </c>
      <c r="B67" s="38" t="s">
        <v>11</v>
      </c>
      <c r="C67" s="39"/>
      <c r="D67" s="39"/>
      <c r="E67" s="40"/>
      <c r="F67" s="40"/>
      <c r="G67" s="40"/>
      <c r="H67" s="40"/>
      <c r="I67" s="40">
        <v>622</v>
      </c>
      <c r="J67" s="40"/>
      <c r="K67" s="40"/>
      <c r="L67" s="40"/>
      <c r="M67" s="40"/>
      <c r="N67" s="40">
        <v>840</v>
      </c>
      <c r="O67" s="40"/>
      <c r="P67" s="40"/>
      <c r="Q67" s="40"/>
      <c r="R67" s="40"/>
      <c r="S67" s="40"/>
      <c r="T67" s="40"/>
      <c r="U67" s="40"/>
      <c r="V67" s="40"/>
      <c r="W67" s="41"/>
    </row>
    <row r="68" spans="1:23" s="42" customFormat="1" ht="16" x14ac:dyDescent="0.2">
      <c r="A68" s="37" t="s">
        <v>138</v>
      </c>
      <c r="B68" s="38" t="s">
        <v>50</v>
      </c>
      <c r="C68" s="39"/>
      <c r="D68" s="39"/>
      <c r="E68" s="40"/>
      <c r="F68" s="40" t="s">
        <v>139</v>
      </c>
      <c r="G68" s="40"/>
      <c r="H68" s="40"/>
      <c r="I68" s="40" t="s">
        <v>139</v>
      </c>
      <c r="J68" s="40"/>
      <c r="K68" s="40"/>
      <c r="L68" s="40"/>
      <c r="M68" s="40"/>
      <c r="N68" s="40" t="s">
        <v>139</v>
      </c>
      <c r="O68" s="40"/>
      <c r="P68" s="40"/>
      <c r="Q68" s="40"/>
      <c r="R68" s="40"/>
      <c r="S68" s="40"/>
      <c r="T68" s="40"/>
      <c r="U68" s="40"/>
      <c r="V68" s="40"/>
      <c r="W68" s="41"/>
    </row>
    <row r="69" spans="1:23" s="42" customFormat="1" ht="16" x14ac:dyDescent="0.2">
      <c r="A69" s="37" t="s">
        <v>137</v>
      </c>
      <c r="B69" s="38" t="s">
        <v>11</v>
      </c>
      <c r="C69" s="39"/>
      <c r="D69" s="39"/>
      <c r="E69" s="40"/>
      <c r="F69" s="40">
        <f>1.5*25.4</f>
        <v>38.099999999999994</v>
      </c>
      <c r="G69" s="40"/>
      <c r="H69" s="40"/>
      <c r="I69" s="40"/>
      <c r="J69" s="40"/>
      <c r="K69" s="40"/>
      <c r="L69" s="40"/>
      <c r="M69" s="40"/>
      <c r="N69" s="40">
        <f>1.5*25.4</f>
        <v>38.099999999999994</v>
      </c>
      <c r="O69" s="40"/>
      <c r="P69" s="40"/>
      <c r="Q69" s="40"/>
      <c r="R69" s="40"/>
      <c r="S69" s="40"/>
      <c r="T69" s="40"/>
      <c r="U69" s="40"/>
      <c r="V69" s="40"/>
      <c r="W69" s="41"/>
    </row>
    <row r="70" spans="1:23" s="42" customFormat="1" ht="16" x14ac:dyDescent="0.2">
      <c r="A70" s="37" t="s">
        <v>150</v>
      </c>
      <c r="B70" s="38" t="s">
        <v>28</v>
      </c>
      <c r="C70" s="39"/>
      <c r="D70" s="39"/>
      <c r="E70" s="40"/>
      <c r="F70" s="40">
        <f>PI()*(F69/1000)^2/4</f>
        <v>1.1400918279693697E-3</v>
      </c>
      <c r="G70" s="40">
        <f>PI()*(G69/1000)^2/4</f>
        <v>0</v>
      </c>
      <c r="H70" s="40"/>
      <c r="I70" s="40"/>
      <c r="J70" s="40"/>
      <c r="K70" s="40"/>
      <c r="L70" s="40"/>
      <c r="M70" s="40"/>
      <c r="N70" s="40">
        <f>PI()*(N69/1000)^2/4</f>
        <v>1.1400918279693697E-3</v>
      </c>
      <c r="O70" s="40"/>
      <c r="P70" s="40"/>
      <c r="Q70" s="40"/>
      <c r="R70" s="40"/>
      <c r="S70" s="40"/>
      <c r="T70" s="40"/>
      <c r="U70" s="40"/>
      <c r="V70" s="40"/>
      <c r="W70" s="41"/>
    </row>
    <row r="71" spans="1:23" s="42" customFormat="1" ht="16" x14ac:dyDescent="0.2">
      <c r="A71" s="37" t="s">
        <v>151</v>
      </c>
      <c r="B71" s="38" t="s">
        <v>153</v>
      </c>
      <c r="C71" s="39"/>
      <c r="D71" s="39"/>
      <c r="E71" s="40"/>
      <c r="F71" s="40">
        <f>F70*1*1000</f>
        <v>1.1400918279693697</v>
      </c>
      <c r="G71" s="40"/>
      <c r="H71" s="40"/>
      <c r="I71" s="40"/>
      <c r="J71" s="40"/>
      <c r="K71" s="40"/>
      <c r="L71" s="40"/>
      <c r="M71" s="40"/>
      <c r="N71" s="40">
        <f>N70*1*1000</f>
        <v>1.1400918279693697</v>
      </c>
      <c r="O71" s="40"/>
      <c r="P71" s="40"/>
      <c r="Q71" s="40"/>
      <c r="R71" s="40"/>
      <c r="S71" s="40"/>
      <c r="T71" s="40"/>
      <c r="U71" s="40"/>
      <c r="V71" s="40"/>
      <c r="W71" s="41"/>
    </row>
    <row r="72" spans="1:23" s="42" customFormat="1" ht="16" x14ac:dyDescent="0.2">
      <c r="A72" s="37" t="s">
        <v>152</v>
      </c>
      <c r="B72" s="38" t="s">
        <v>50</v>
      </c>
      <c r="C72" s="39"/>
      <c r="D72" s="39"/>
      <c r="E72" s="40"/>
      <c r="F72" s="40" t="s">
        <v>143</v>
      </c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1"/>
    </row>
    <row r="73" spans="1:23" x14ac:dyDescent="0.2">
      <c r="A73" s="15" t="s">
        <v>24</v>
      </c>
      <c r="B73" s="16" t="s">
        <v>11</v>
      </c>
      <c r="C73" s="22">
        <f>5.25*25.4</f>
        <v>133.35</v>
      </c>
      <c r="D73" s="22"/>
      <c r="E73" s="1"/>
      <c r="F73" s="43"/>
      <c r="G73" s="1"/>
      <c r="H73" s="1"/>
      <c r="I73" s="1"/>
      <c r="J73" s="1"/>
      <c r="K73" s="1"/>
      <c r="L73" s="1"/>
      <c r="M73" s="43"/>
      <c r="N73" s="43"/>
      <c r="O73" s="43"/>
      <c r="P73" s="43"/>
      <c r="Q73" s="43"/>
      <c r="R73" s="43"/>
      <c r="S73" s="1"/>
      <c r="T73" s="1"/>
      <c r="U73" s="1"/>
      <c r="V73" s="1"/>
      <c r="W73" s="23"/>
    </row>
    <row r="74" spans="1:23" x14ac:dyDescent="0.2">
      <c r="A74" s="15" t="s">
        <v>25</v>
      </c>
      <c r="B74" s="16" t="s">
        <v>11</v>
      </c>
      <c r="C74" s="22">
        <f>44*25.4</f>
        <v>1117.5999999999999</v>
      </c>
      <c r="D74" s="22"/>
      <c r="E74" s="1"/>
      <c r="F74" s="43"/>
      <c r="G74" s="1"/>
      <c r="H74" s="1"/>
      <c r="I74" s="1"/>
      <c r="J74" s="1"/>
      <c r="K74" s="1"/>
      <c r="L74" s="1"/>
      <c r="M74" s="43"/>
      <c r="N74" s="43"/>
      <c r="O74" s="43"/>
      <c r="P74" s="43"/>
      <c r="Q74" s="43"/>
      <c r="R74" s="43"/>
      <c r="S74" s="1"/>
      <c r="T74" s="1"/>
      <c r="U74" s="1"/>
      <c r="V74" s="1"/>
      <c r="W74" s="23"/>
    </row>
    <row r="75" spans="1:23" x14ac:dyDescent="0.2">
      <c r="A75" s="15" t="s">
        <v>35</v>
      </c>
      <c r="B75" s="16" t="s">
        <v>11</v>
      </c>
      <c r="C75" s="22">
        <f>3*25.4</f>
        <v>76.199999999999989</v>
      </c>
      <c r="D75" s="22"/>
      <c r="E75" s="1"/>
      <c r="F75" s="43"/>
      <c r="G75" s="1"/>
      <c r="H75" s="1"/>
      <c r="I75" s="1"/>
      <c r="J75" s="1"/>
      <c r="K75" s="1"/>
      <c r="L75" s="1"/>
      <c r="M75" s="43"/>
      <c r="N75" s="43"/>
      <c r="O75" s="43"/>
      <c r="P75" s="43"/>
      <c r="Q75" s="43"/>
      <c r="R75" s="43"/>
      <c r="S75" s="1"/>
      <c r="T75" s="1"/>
      <c r="U75" s="1"/>
      <c r="V75" s="1"/>
      <c r="W75" s="23"/>
    </row>
    <row r="76" spans="1:23" x14ac:dyDescent="0.2">
      <c r="A76" s="15" t="s">
        <v>107</v>
      </c>
      <c r="B76" s="17" t="s">
        <v>26</v>
      </c>
      <c r="C76" s="22">
        <v>4</v>
      </c>
      <c r="D76" s="22">
        <v>4</v>
      </c>
      <c r="E76" s="1"/>
      <c r="F76" s="1"/>
      <c r="G76" s="1"/>
      <c r="H76" s="1"/>
      <c r="I76" s="1"/>
      <c r="J76" s="1"/>
      <c r="K76" s="1">
        <v>3</v>
      </c>
      <c r="L76" s="1">
        <v>3</v>
      </c>
      <c r="M76" s="1">
        <v>3</v>
      </c>
      <c r="N76" s="1">
        <v>3</v>
      </c>
      <c r="O76" s="1"/>
      <c r="P76" s="1"/>
      <c r="Q76" s="1"/>
      <c r="R76" s="1"/>
      <c r="S76" s="1"/>
      <c r="T76" s="1"/>
      <c r="U76" s="1"/>
      <c r="V76" s="1"/>
      <c r="W76" s="23">
        <v>1</v>
      </c>
    </row>
    <row r="77" spans="1:23" x14ac:dyDescent="0.2">
      <c r="A77" s="15" t="s">
        <v>115</v>
      </c>
      <c r="B77" s="17" t="s">
        <v>11</v>
      </c>
      <c r="C77" s="22"/>
      <c r="D77" s="22"/>
      <c r="E77" s="1"/>
      <c r="F77" s="1">
        <v>1250</v>
      </c>
      <c r="G77" s="1"/>
      <c r="H77" s="26">
        <f>(27+9/16)*25.4</f>
        <v>700.08749999999998</v>
      </c>
      <c r="I77" s="1"/>
      <c r="J77" s="1"/>
      <c r="K77" s="1">
        <v>860</v>
      </c>
      <c r="L77" s="1">
        <v>860</v>
      </c>
      <c r="M77" s="1">
        <v>860</v>
      </c>
      <c r="N77" s="1">
        <v>860</v>
      </c>
      <c r="O77" s="1"/>
      <c r="P77" s="1"/>
      <c r="Q77" s="1"/>
      <c r="R77" s="1"/>
      <c r="S77" s="1"/>
      <c r="T77" s="1"/>
      <c r="U77" s="1"/>
      <c r="V77" s="1"/>
      <c r="W77" s="23">
        <v>55</v>
      </c>
    </row>
    <row r="78" spans="1:23" x14ac:dyDescent="0.2">
      <c r="A78" s="15" t="s">
        <v>14</v>
      </c>
      <c r="B78" s="16" t="s">
        <v>11</v>
      </c>
      <c r="C78" s="22">
        <f>2.5*25.4</f>
        <v>63.5</v>
      </c>
      <c r="D78" s="22">
        <f>2.5*25.4</f>
        <v>63.5</v>
      </c>
      <c r="E78" s="1"/>
      <c r="F78" s="1"/>
      <c r="G78" s="1"/>
      <c r="H78" s="1"/>
      <c r="I78" s="1"/>
      <c r="J78" s="1"/>
      <c r="K78" s="1">
        <v>88</v>
      </c>
      <c r="L78" s="1">
        <v>88</v>
      </c>
      <c r="M78" s="1">
        <v>88</v>
      </c>
      <c r="N78" s="1">
        <v>88</v>
      </c>
      <c r="O78" s="1"/>
      <c r="P78" s="1"/>
      <c r="Q78" s="1"/>
      <c r="R78" s="1"/>
      <c r="S78" s="1"/>
      <c r="T78" s="1"/>
      <c r="U78" s="1"/>
      <c r="V78" s="1"/>
      <c r="W78" s="23">
        <v>29.2</v>
      </c>
    </row>
    <row r="79" spans="1:23" x14ac:dyDescent="0.2">
      <c r="A79" s="15" t="s">
        <v>114</v>
      </c>
      <c r="B79" s="16" t="s">
        <v>11</v>
      </c>
      <c r="C79" s="22"/>
      <c r="D79" s="22"/>
      <c r="E79" s="1"/>
      <c r="F79" s="1"/>
      <c r="G79" s="1"/>
      <c r="H79" s="1"/>
      <c r="I79" s="1"/>
      <c r="J79" s="1"/>
      <c r="K79" s="1">
        <v>38</v>
      </c>
      <c r="L79" s="1">
        <v>38</v>
      </c>
      <c r="M79" s="1">
        <v>38</v>
      </c>
      <c r="N79" s="1">
        <v>38</v>
      </c>
      <c r="O79" s="1"/>
      <c r="P79" s="1"/>
      <c r="Q79" s="1"/>
      <c r="R79" s="1"/>
      <c r="S79" s="1"/>
      <c r="T79" s="1"/>
      <c r="U79" s="1"/>
      <c r="V79" s="1"/>
      <c r="W79" s="23"/>
    </row>
    <row r="80" spans="1:23" x14ac:dyDescent="0.2">
      <c r="A80" s="15" t="s">
        <v>116</v>
      </c>
      <c r="B80" s="16" t="s">
        <v>11</v>
      </c>
      <c r="C80" s="22">
        <f>0.5*25.4</f>
        <v>12.7</v>
      </c>
      <c r="D80" s="22">
        <f>0.5*25.4</f>
        <v>12.7</v>
      </c>
      <c r="E80" s="1"/>
      <c r="F80" s="1"/>
      <c r="G80" s="1"/>
      <c r="H80" s="1"/>
      <c r="I80" s="1"/>
      <c r="J80" s="1"/>
      <c r="K80" s="1">
        <v>45</v>
      </c>
      <c r="L80" s="1">
        <v>45</v>
      </c>
      <c r="M80" s="1">
        <v>45</v>
      </c>
      <c r="N80" s="1">
        <v>45</v>
      </c>
      <c r="O80" s="1"/>
      <c r="P80" s="1"/>
      <c r="Q80" s="1"/>
      <c r="R80" s="1"/>
      <c r="S80" s="1"/>
      <c r="T80" s="1"/>
      <c r="U80" s="1"/>
      <c r="V80" s="1"/>
      <c r="W80" s="23">
        <v>28.6</v>
      </c>
    </row>
    <row r="81" spans="1:23" x14ac:dyDescent="0.2">
      <c r="A81" s="15" t="s">
        <v>117</v>
      </c>
      <c r="B81" s="16" t="s">
        <v>11</v>
      </c>
      <c r="C81" s="22"/>
      <c r="D81" s="22"/>
      <c r="E81" s="1"/>
      <c r="F81" s="1"/>
      <c r="G81" s="1"/>
      <c r="H81" s="1"/>
      <c r="I81" s="1"/>
      <c r="J81" s="1"/>
      <c r="K81" s="1">
        <v>423</v>
      </c>
      <c r="L81" s="1">
        <v>423</v>
      </c>
      <c r="M81" s="1">
        <v>423</v>
      </c>
      <c r="N81" s="1">
        <v>187</v>
      </c>
      <c r="O81" s="1"/>
      <c r="P81" s="1"/>
      <c r="Q81" s="1"/>
      <c r="R81" s="1"/>
      <c r="S81" s="1"/>
      <c r="T81" s="1"/>
      <c r="U81" s="1"/>
      <c r="V81" s="1"/>
      <c r="W81" s="23"/>
    </row>
    <row r="82" spans="1:23" x14ac:dyDescent="0.2">
      <c r="A82" s="15" t="s">
        <v>9</v>
      </c>
      <c r="B82" s="16" t="s">
        <v>11</v>
      </c>
      <c r="C82" s="22">
        <f>117/120</f>
        <v>0.97499999999999998</v>
      </c>
      <c r="D82" s="22">
        <f>117/120</f>
        <v>0.97499999999999998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23"/>
    </row>
    <row r="83" spans="1:23" x14ac:dyDescent="0.2">
      <c r="A83" s="15" t="s">
        <v>13</v>
      </c>
      <c r="B83" s="16" t="s">
        <v>11</v>
      </c>
      <c r="C83" s="22">
        <f>1.5*25.4</f>
        <v>38.099999999999994</v>
      </c>
      <c r="D83" s="22">
        <f>1.5*25.4</f>
        <v>38.099999999999994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23"/>
    </row>
    <row r="84" spans="1:23" x14ac:dyDescent="0.2">
      <c r="A84" s="15" t="s">
        <v>12</v>
      </c>
      <c r="B84" s="16" t="s">
        <v>11</v>
      </c>
      <c r="C84" s="22">
        <f>120*25.4+C16+0.5*C16</f>
        <v>3562.35</v>
      </c>
      <c r="D84" s="22">
        <f>120*25.4+D16+0.5*D16</f>
        <v>3562.35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23"/>
    </row>
    <row r="85" spans="1:23" x14ac:dyDescent="0.2">
      <c r="A85" s="15" t="s">
        <v>84</v>
      </c>
      <c r="B85" s="16" t="s">
        <v>10</v>
      </c>
      <c r="C85" s="22">
        <v>6</v>
      </c>
      <c r="D85" s="22">
        <v>6</v>
      </c>
      <c r="E85" s="1"/>
      <c r="F85" s="1"/>
      <c r="G85" s="28">
        <f>CONVERT(130,"psi","Pa")/100000</f>
        <v>8.9631844811188692</v>
      </c>
      <c r="H85" s="28">
        <f>CONVERT(130,"psi","Pa")/100000</f>
        <v>8.9631844811188692</v>
      </c>
      <c r="I85" s="28">
        <f>CONVERT(150,"psi","Pa")/100000</f>
        <v>10.342135939752541</v>
      </c>
      <c r="J85" s="28"/>
      <c r="K85" s="28">
        <f>CONVERT(90,"psi","Pa")/100000</f>
        <v>6.2052815638515257</v>
      </c>
      <c r="L85" s="28">
        <f>CONVERT(90,"psi","Pa")/100000</f>
        <v>6.2052815638515257</v>
      </c>
      <c r="M85" s="28">
        <f>CONVERT(90,"psi","Pa")/100000</f>
        <v>6.2052815638515257</v>
      </c>
      <c r="N85" s="28">
        <f>CONVERT(90,"psi","Pa")/100000</f>
        <v>6.2052815638515257</v>
      </c>
      <c r="O85" s="1"/>
      <c r="P85" s="1"/>
      <c r="Q85" s="1"/>
      <c r="R85" s="1"/>
      <c r="S85" s="1"/>
      <c r="T85" s="1"/>
      <c r="U85" s="1"/>
      <c r="V85" s="1">
        <v>20</v>
      </c>
      <c r="W85" s="23">
        <v>60</v>
      </c>
    </row>
    <row r="86" spans="1:23" x14ac:dyDescent="0.2">
      <c r="A86" s="15" t="s">
        <v>85</v>
      </c>
      <c r="B86" s="18" t="s">
        <v>86</v>
      </c>
      <c r="C86" s="22"/>
      <c r="D86" s="22"/>
      <c r="E86" s="1"/>
      <c r="F86" s="1"/>
      <c r="G86" s="1">
        <v>260</v>
      </c>
      <c r="H86" s="1">
        <v>260</v>
      </c>
      <c r="I86" s="1">
        <v>260</v>
      </c>
      <c r="J86" s="1"/>
      <c r="K86" s="1">
        <v>260</v>
      </c>
      <c r="L86" s="1">
        <v>260</v>
      </c>
      <c r="M86" s="1">
        <v>260</v>
      </c>
      <c r="N86" s="1">
        <v>260</v>
      </c>
      <c r="O86" s="1"/>
      <c r="P86" s="1"/>
      <c r="Q86" s="1"/>
      <c r="R86" s="1"/>
      <c r="S86" s="1"/>
      <c r="T86" s="1"/>
      <c r="U86" s="1"/>
      <c r="V86" s="1"/>
      <c r="W86" s="23">
        <v>300</v>
      </c>
    </row>
    <row r="87" spans="1:23" x14ac:dyDescent="0.2">
      <c r="A87" s="15" t="s">
        <v>124</v>
      </c>
      <c r="B87" s="16" t="s">
        <v>46</v>
      </c>
      <c r="C87" s="22"/>
      <c r="D87" s="2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23"/>
    </row>
    <row r="88" spans="1:23" x14ac:dyDescent="0.2">
      <c r="A88" s="15" t="s">
        <v>125</v>
      </c>
      <c r="B88" s="16" t="s">
        <v>46</v>
      </c>
      <c r="C88" s="22">
        <v>95</v>
      </c>
      <c r="D88" s="22">
        <v>96</v>
      </c>
      <c r="E88" s="1">
        <v>113</v>
      </c>
      <c r="F88" s="1">
        <v>125</v>
      </c>
      <c r="G88" s="1"/>
      <c r="H88" s="1">
        <v>125</v>
      </c>
      <c r="I88" s="51">
        <v>139</v>
      </c>
      <c r="J88" s="51">
        <v>230</v>
      </c>
      <c r="K88" s="36">
        <v>125</v>
      </c>
      <c r="L88" s="36">
        <v>125</v>
      </c>
      <c r="M88" s="36">
        <v>125</v>
      </c>
      <c r="N88" s="36">
        <v>125</v>
      </c>
      <c r="O88" s="1">
        <v>1000</v>
      </c>
      <c r="P88" s="1"/>
      <c r="Q88" s="1">
        <v>1000</v>
      </c>
      <c r="R88" s="1">
        <v>1000</v>
      </c>
      <c r="S88" s="1"/>
      <c r="T88" s="1"/>
      <c r="U88" s="1"/>
      <c r="V88" s="1">
        <v>1500</v>
      </c>
      <c r="W88" s="23">
        <v>2000</v>
      </c>
    </row>
    <row r="89" spans="1:23" ht="16" thickBot="1" x14ac:dyDescent="0.25">
      <c r="A89" s="6" t="s">
        <v>126</v>
      </c>
      <c r="B89" s="12" t="s">
        <v>46</v>
      </c>
      <c r="C89" s="30">
        <v>1.43</v>
      </c>
      <c r="D89" s="30">
        <v>1.43</v>
      </c>
      <c r="E89" s="31"/>
      <c r="F89" s="31">
        <v>12</v>
      </c>
      <c r="G89" s="31"/>
      <c r="H89" s="31">
        <v>12</v>
      </c>
      <c r="I89" s="31">
        <v>10</v>
      </c>
      <c r="J89" s="31">
        <v>11.5</v>
      </c>
      <c r="K89" s="31"/>
      <c r="L89" s="31"/>
      <c r="M89" s="31"/>
      <c r="N89" s="31">
        <v>12</v>
      </c>
      <c r="O89" s="31">
        <v>50</v>
      </c>
      <c r="P89" s="31"/>
      <c r="Q89" s="31">
        <v>25</v>
      </c>
      <c r="R89" s="31">
        <v>25</v>
      </c>
      <c r="S89" s="31"/>
      <c r="T89" s="31"/>
      <c r="U89" s="31"/>
      <c r="V89" s="31">
        <v>10</v>
      </c>
      <c r="W89" s="3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Bradfield, Michael (ext)</dc:creator>
  <cp:lastModifiedBy>Michael Bradfield</cp:lastModifiedBy>
  <dcterms:created xsi:type="dcterms:W3CDTF">2015-06-05T18:17:20Z</dcterms:created>
  <dcterms:modified xsi:type="dcterms:W3CDTF">2026-03-11T02:24:24Z</dcterms:modified>
</cp:coreProperties>
</file>